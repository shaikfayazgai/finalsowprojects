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Feature Regist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source Plan" sheetId="4" state="visible" r:id="rId4"/>
    <sheet xmlns:r="http://schemas.openxmlformats.org/officeDocument/2006/relationships" name="Definitions" sheetId="5" state="visible" r:id="rId5"/>
  </sheets>
  <definedNames>
    <definedName name="_xlnm._FilterDatabase" localSheetId="1" hidden="1">'Feature Register'!$A$11:$S$87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color rgb="00000000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color rgb="000563C1"/>
      <u val="single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595959"/>
      <sz val="9"/>
    </font>
    <font>
      <name val="Calibri"/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GlimmoraTeam — Feature Delivery Tracker</t>
        </is>
      </c>
    </row>
    <row r="2">
      <c r="A2" s="2" t="inlineStr">
        <is>
          <t>Standard program register · Phase 1 MVP</t>
        </is>
      </c>
    </row>
    <row r="4">
      <c r="A4" s="3" t="inlineStr">
        <is>
          <t>Project name</t>
        </is>
      </c>
      <c r="B4" s="4" t="inlineStr">
        <is>
          <t>GlimmoraTeam Global Workforce Platform</t>
        </is>
      </c>
    </row>
    <row r="5">
      <c r="A5" s="3" t="inlineStr">
        <is>
          <t>Document owner</t>
        </is>
      </c>
      <c r="B5" s="4" t="inlineStr">
        <is>
          <t>Product / Engineering</t>
        </is>
      </c>
    </row>
    <row r="6">
      <c r="A6" s="3" t="inlineStr">
        <is>
          <t>Version</t>
        </is>
      </c>
      <c r="B6" s="4" t="inlineStr">
        <is>
          <t>1.0</t>
        </is>
      </c>
    </row>
    <row r="7">
      <c r="A7" s="3" t="inlineStr">
        <is>
          <t>Last updated</t>
        </is>
      </c>
      <c r="B7" s="5" t="n">
        <v>46170</v>
      </c>
    </row>
    <row r="8">
      <c r="A8" s="3" t="inlineStr">
        <is>
          <t>Reporting period</t>
        </is>
      </c>
      <c r="B8" s="4" t="inlineStr">
        <is>
          <t>Phase 1 (Apr – Aug 2026)</t>
        </is>
      </c>
    </row>
    <row r="9">
      <c r="A9" s="3" t="inlineStr">
        <is>
          <t>Project manager</t>
        </is>
      </c>
      <c r="B9" s="4" t="inlineStr">
        <is>
          <t>[Name]</t>
        </is>
      </c>
    </row>
    <row r="10">
      <c r="A10" s="3" t="inlineStr">
        <is>
          <t>Engineering manager</t>
        </is>
      </c>
      <c r="B10" s="4" t="inlineStr">
        <is>
          <t>[Name]</t>
        </is>
      </c>
    </row>
    <row r="11">
      <c r="A11" s="3" t="inlineStr">
        <is>
          <t>Status cadence</t>
        </is>
      </c>
      <c r="B11" s="4" t="inlineStr">
        <is>
          <t>Weekly — update Assigned To, statuses, and % Complete</t>
        </is>
      </c>
    </row>
    <row r="13">
      <c r="A13" s="6" t="inlineStr">
        <is>
          <t>Navigation</t>
        </is>
      </c>
    </row>
    <row r="14">
      <c r="A14" s="7" t="inlineStr">
        <is>
          <t>Sheet</t>
        </is>
      </c>
      <c r="B14" s="7" t="inlineStr">
        <is>
          <t>Purpose</t>
        </is>
      </c>
    </row>
    <row r="15">
      <c r="A15" s="8" t="inlineStr">
        <is>
          <t>Feature Register</t>
        </is>
      </c>
      <c r="B15" s="4" t="inlineStr">
        <is>
          <t>Master tracker — edit here</t>
        </is>
      </c>
    </row>
    <row r="16">
      <c r="A16" s="8" t="inlineStr">
        <is>
          <t>Dashboard</t>
        </is>
      </c>
      <c r="B16" s="4" t="inlineStr">
        <is>
          <t>Executive summary (auto-calculated)</t>
        </is>
      </c>
    </row>
    <row r="17">
      <c r="A17" s="8" t="inlineStr">
        <is>
          <t>Resource Plan</t>
        </is>
      </c>
      <c r="B17" s="4" t="inlineStr">
        <is>
          <t>Assignee workload view</t>
        </is>
      </c>
    </row>
    <row r="18">
      <c r="A18" s="8" t="inlineStr">
        <is>
          <t>Definitions</t>
        </is>
      </c>
      <c r="B18" s="4" t="inlineStr">
        <is>
          <t>Column and status definitions</t>
        </is>
      </c>
    </row>
  </sheetData>
  <mergeCells count="3">
    <mergeCell ref="A1:D1"/>
    <mergeCell ref="A13:D13"/>
    <mergeCell ref="A2:D2"/>
  </mergeCells>
  <hyperlinks>
    <hyperlink ref="A15" location="'Feature Register'!A1" display="Feature Register"/>
    <hyperlink ref="A16" location="'Dashboard'!A1" display="Dashboard"/>
    <hyperlink ref="A17" location="'Resource Plan'!A1" display="Resource Plan"/>
    <hyperlink ref="A18" location="'Definitions'!A1" display="Definition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4" customWidth="1" min="4" max="4"/>
    <col width="12" customWidth="1" min="5" max="5"/>
    <col width="16" customWidth="1" min="6" max="6"/>
    <col width="13" customWidth="1" min="7" max="7"/>
    <col width="13" customWidth="1" min="8" max="8"/>
    <col width="13" customWidth="1" min="9" max="9"/>
    <col width="10" customWidth="1" min="10" max="10"/>
    <col width="8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8" customWidth="1" min="19" max="19"/>
  </cols>
  <sheetData>
    <row r="1">
      <c r="A1" s="9" t="inlineStr">
        <is>
          <t>Feature Register</t>
        </is>
      </c>
    </row>
    <row r="2">
      <c r="A2" s="10" t="inlineStr">
        <is>
          <t>Single source of truth · Filter by Module, Assigned To, or Overall Status</t>
        </is>
      </c>
    </row>
    <row r="11" ht="36" customHeight="1">
      <c r="A11" s="11" t="inlineStr">
        <is>
          <t>Feature ID</t>
        </is>
      </c>
      <c r="B11" s="11" t="inlineStr">
        <is>
          <t>Module</t>
        </is>
      </c>
      <c r="C11" s="11" t="inlineStr">
        <is>
          <t>Feature Name</t>
        </is>
      </c>
      <c r="D11" s="11" t="inlineStr">
        <is>
          <t>Description</t>
        </is>
      </c>
      <c r="E11" s="11" t="inlineStr">
        <is>
          <t>Priority</t>
        </is>
      </c>
      <c r="F11" s="11" t="inlineStr">
        <is>
          <t>Phase</t>
        </is>
      </c>
      <c r="G11" s="11" t="inlineStr">
        <is>
          <t>Overall Status</t>
        </is>
      </c>
      <c r="H11" s="11" t="inlineStr">
        <is>
          <t>Frontend Status</t>
        </is>
      </c>
      <c r="I11" s="11" t="inlineStr">
        <is>
          <t>Backend Status</t>
        </is>
      </c>
      <c r="J11" s="11" t="inlineStr">
        <is>
          <t>% Complete</t>
        </is>
      </c>
      <c r="K11" s="11" t="inlineStr">
        <is>
          <t>RAG</t>
        </is>
      </c>
      <c r="L11" s="11" t="inlineStr">
        <is>
          <t>Assigned To</t>
        </is>
      </c>
      <c r="M11" s="11" t="inlineStr">
        <is>
          <t>Accountable (EM)</t>
        </is>
      </c>
      <c r="N11" s="11" t="inlineStr">
        <is>
          <t>Planned Start</t>
        </is>
      </c>
      <c r="O11" s="11" t="inlineStr">
        <is>
          <t>Planned End</t>
        </is>
      </c>
      <c r="P11" s="11" t="inlineStr">
        <is>
          <t>Actual End</t>
        </is>
      </c>
      <c r="Q11" s="11" t="inlineStr">
        <is>
          <t>Last Updated</t>
        </is>
      </c>
      <c r="R11" s="11" t="inlineStr">
        <is>
          <t>Dependency ID</t>
        </is>
      </c>
      <c r="S11" s="11" t="inlineStr">
        <is>
          <t>Remarks</t>
        </is>
      </c>
    </row>
    <row r="12">
      <c r="A12" s="4" t="inlineStr">
        <is>
          <t>FTR-001</t>
        </is>
      </c>
      <c r="B12" s="4" t="inlineStr">
        <is>
          <t>Platform</t>
        </is>
      </c>
      <c r="C12" s="12" t="inlineStr">
        <is>
          <t>Application shell &amp; routing</t>
        </is>
      </c>
      <c r="D12" s="13" t="inlineStr">
        <is>
          <t>Multi-portal Next.js App Router with role-based layouts</t>
        </is>
      </c>
      <c r="E12" s="14" t="inlineStr">
        <is>
          <t>P1 — Critical</t>
        </is>
      </c>
      <c r="F12" s="14" t="inlineStr">
        <is>
          <t>Phase 1 — MVP</t>
        </is>
      </c>
      <c r="G12" s="14" t="inlineStr">
        <is>
          <t>Completed</t>
        </is>
      </c>
      <c r="H12" s="14" t="inlineStr">
        <is>
          <t>Complete</t>
        </is>
      </c>
      <c r="I12" s="14" t="inlineStr">
        <is>
          <t>Complete</t>
        </is>
      </c>
      <c r="J12" s="15">
        <f>IF(G12="Completed",100,IF(G12="Deferred",0,IF(G12="Cancelled",0,IF(G12="Not Started",0,IF(G12="On Hold",IF(OR(H12="Complete",H12="N/A"),50,25),ROUND((IF(H12="Complete",100,IF(H12="In Progress",50,IF(H12="Blocked",25,0)))+IF(I12="Complete",100,IF(I12="In Progress",50,IF(I12="Blocked",25,IF(I12="N/A",100,0)))))/2,0))))))</f>
        <v/>
      </c>
      <c r="K12" s="15">
        <f>IF(G12="Completed","Green",IF(G12="Deferred","Grey",IF(G12="Cancelled","Grey",IF(G12="On Hold","Red",IF(J12&gt;=80,"Green",IF(J12&gt;=40,"Amber","Red"))))))</f>
        <v/>
      </c>
      <c r="L12" s="14" t="inlineStr">
        <is>
          <t>Frontend Lead</t>
        </is>
      </c>
      <c r="M12" s="14" t="inlineStr">
        <is>
          <t>Engineering Manager</t>
        </is>
      </c>
      <c r="N12" s="16" t="n">
        <v>46082</v>
      </c>
      <c r="O12" s="16" t="n">
        <v>46142</v>
      </c>
      <c r="P12" s="16" t="n"/>
      <c r="Q12" s="16" t="n">
        <v>46170</v>
      </c>
      <c r="R12" s="14" t="inlineStr">
        <is>
          <t>—</t>
        </is>
      </c>
      <c r="S12" s="13" t="inlineStr">
        <is>
          <t>Production-ready</t>
        </is>
      </c>
    </row>
    <row r="13">
      <c r="A13" s="17" t="inlineStr">
        <is>
          <t>FTR-002</t>
        </is>
      </c>
      <c r="B13" s="17" t="inlineStr">
        <is>
          <t>Platform</t>
        </is>
      </c>
      <c r="C13" s="18" t="inlineStr">
        <is>
          <t>Authentication (email / password)</t>
        </is>
      </c>
      <c r="D13" s="19" t="inlineStr">
        <is>
          <t>Login, registration, password reset, session management</t>
        </is>
      </c>
      <c r="E13" s="20" t="inlineStr">
        <is>
          <t>P1 — Critical</t>
        </is>
      </c>
      <c r="F13" s="20" t="inlineStr">
        <is>
          <t>Phase 1 — MVP</t>
        </is>
      </c>
      <c r="G13" s="20" t="inlineStr">
        <is>
          <t>Completed</t>
        </is>
      </c>
      <c r="H13" s="20" t="inlineStr">
        <is>
          <t>Complete</t>
        </is>
      </c>
      <c r="I13" s="20" t="inlineStr">
        <is>
          <t>Complete</t>
        </is>
      </c>
      <c r="J13" s="21">
        <f>IF(G13="Completed",100,IF(G13="Deferred",0,IF(G13="Cancelled",0,IF(G13="Not Started",0,IF(G13="On Hold",IF(OR(H13="Complete",H13="N/A"),50,25),ROUND((IF(H13="Complete",100,IF(H13="In Progress",50,IF(H13="Blocked",25,0)))+IF(I13="Complete",100,IF(I13="In Progress",50,IF(I13="Blocked",25,IF(I13="N/A",100,0)))))/2,0))))))</f>
        <v/>
      </c>
      <c r="K13" s="21">
        <f>IF(G13="Completed","Green",IF(G13="Deferred","Grey",IF(G13="Cancelled","Grey",IF(G13="On Hold","Red",IF(J13&gt;=80,"Green",IF(J13&gt;=40,"Amber","Red"))))))</f>
        <v/>
      </c>
      <c r="L13" s="20" t="inlineStr">
        <is>
          <t>Backend Lead</t>
        </is>
      </c>
      <c r="M13" s="20" t="inlineStr">
        <is>
          <t>Engineering Manager</t>
        </is>
      </c>
      <c r="N13" s="22" t="n">
        <v>46082</v>
      </c>
      <c r="O13" s="22" t="n">
        <v>46127</v>
      </c>
      <c r="P13" s="22" t="n"/>
      <c r="Q13" s="22" t="n">
        <v>46170</v>
      </c>
      <c r="R13" s="20" t="inlineStr">
        <is>
          <t>FTR-008</t>
        </is>
      </c>
      <c r="S13" s="19" t="inlineStr">
        <is>
          <t>NextAuth v5 + Prisma</t>
        </is>
      </c>
    </row>
    <row r="14">
      <c r="A14" s="4" t="inlineStr">
        <is>
          <t>FTR-003</t>
        </is>
      </c>
      <c r="B14" s="4" t="inlineStr">
        <is>
          <t>Platform</t>
        </is>
      </c>
      <c r="C14" s="12" t="inlineStr">
        <is>
          <t>OAuth (Google &amp; Microsoft)</t>
        </is>
      </c>
      <c r="D14" s="13" t="inlineStr">
        <is>
          <t>SSO sign-in for contributors and enterprise users</t>
        </is>
      </c>
      <c r="E14" s="14" t="inlineStr">
        <is>
          <t>P1 — Critical</t>
        </is>
      </c>
      <c r="F14" s="14" t="inlineStr">
        <is>
          <t>Phase 1 — MVP</t>
        </is>
      </c>
      <c r="G14" s="14" t="inlineStr">
        <is>
          <t>In Progress</t>
        </is>
      </c>
      <c r="H14" s="14" t="inlineStr">
        <is>
          <t>Complete</t>
        </is>
      </c>
      <c r="I14" s="14" t="inlineStr">
        <is>
          <t>In Progress</t>
        </is>
      </c>
      <c r="J14" s="15">
        <f>IF(G14="Completed",100,IF(G14="Deferred",0,IF(G14="Cancelled",0,IF(G14="Not Started",0,IF(G14="On Hold",IF(OR(H14="Complete",H14="N/A"),50,25),ROUND((IF(H14="Complete",100,IF(H14="In Progress",50,IF(H14="Blocked",25,0)))+IF(I14="Complete",100,IF(I14="In Progress",50,IF(I14="Blocked",25,IF(I14="N/A",100,0)))))/2,0))))))</f>
        <v/>
      </c>
      <c r="K14" s="15">
        <f>IF(G14="Completed","Green",IF(G14="Deferred","Grey",IF(G14="Cancelled","Grey",IF(G14="On Hold","Red",IF(J14&gt;=80,"Green",IF(J14&gt;=40,"Amber","Red"))))))</f>
        <v/>
      </c>
      <c r="L14" s="14" t="inlineStr">
        <is>
          <t>Backend Lead</t>
        </is>
      </c>
      <c r="M14" s="14" t="inlineStr">
        <is>
          <t>Engineering Manager</t>
        </is>
      </c>
      <c r="N14" s="16" t="n">
        <v>46113</v>
      </c>
      <c r="O14" s="16" t="n">
        <v>46188</v>
      </c>
      <c r="P14" s="16" t="n"/>
      <c r="Q14" s="16" t="n">
        <v>46170</v>
      </c>
      <c r="R14" s="14" t="inlineStr">
        <is>
          <t>FTR-002</t>
        </is>
      </c>
      <c r="S14" s="13" t="inlineStr">
        <is>
          <t>Enterprise IdP routing partial</t>
        </is>
      </c>
    </row>
    <row r="15">
      <c r="A15" s="17" t="inlineStr">
        <is>
          <t>FTR-004</t>
        </is>
      </c>
      <c r="B15" s="17" t="inlineStr">
        <is>
          <t>Platform</t>
        </is>
      </c>
      <c r="C15" s="18" t="inlineStr">
        <is>
          <t>MFA / TOTP</t>
        </is>
      </c>
      <c r="D15" s="19" t="inlineStr">
        <is>
          <t>Multi-factor authentication setup and verification</t>
        </is>
      </c>
      <c r="E15" s="20" t="inlineStr">
        <is>
          <t>P2 — High</t>
        </is>
      </c>
      <c r="F15" s="20" t="inlineStr">
        <is>
          <t>Phase 1 — Hardening</t>
        </is>
      </c>
      <c r="G15" s="20" t="inlineStr">
        <is>
          <t>In Progress</t>
        </is>
      </c>
      <c r="H15" s="20" t="inlineStr">
        <is>
          <t>Complete</t>
        </is>
      </c>
      <c r="I15" s="20" t="inlineStr">
        <is>
          <t>In Progress</t>
        </is>
      </c>
      <c r="J15" s="21">
        <f>IF(G15="Completed",100,IF(G15="Deferred",0,IF(G15="Cancelled",0,IF(G15="Not Started",0,IF(G15="On Hold",IF(OR(H15="Complete",H15="N/A"),50,25),ROUND((IF(H15="Complete",100,IF(H15="In Progress",50,IF(H15="Blocked",25,0)))+IF(I15="Complete",100,IF(I15="In Progress",50,IF(I15="Blocked",25,IF(I15="N/A",100,0)))))/2,0))))))</f>
        <v/>
      </c>
      <c r="K15" s="21">
        <f>IF(G15="Completed","Green",IF(G15="Deferred","Grey",IF(G15="Cancelled","Grey",IF(G15="On Hold","Red",IF(J15&gt;=80,"Green",IF(J15&gt;=40,"Amber","Red"))))))</f>
        <v/>
      </c>
      <c r="L15" s="20" t="inlineStr">
        <is>
          <t>Security Lead</t>
        </is>
      </c>
      <c r="M15" s="20" t="inlineStr">
        <is>
          <t>Engineering Manager</t>
        </is>
      </c>
      <c r="N15" s="22" t="n">
        <v>46143</v>
      </c>
      <c r="O15" s="22" t="n">
        <v>46203</v>
      </c>
      <c r="P15" s="22" t="n"/>
      <c r="Q15" s="22" t="n">
        <v>46170</v>
      </c>
      <c r="R15" s="20" t="inlineStr">
        <is>
          <t>FTR-002</t>
        </is>
      </c>
      <c r="S15" s="19" t="inlineStr">
        <is>
          <t>E2E coverage pending</t>
        </is>
      </c>
    </row>
    <row r="16">
      <c r="A16" s="4" t="inlineStr">
        <is>
          <t>FTR-005</t>
        </is>
      </c>
      <c r="B16" s="4" t="inlineStr">
        <is>
          <t>Platform</t>
        </is>
      </c>
      <c r="C16" s="12" t="inlineStr">
        <is>
          <t>OTP (email &amp; phone)</t>
        </is>
      </c>
      <c r="D16" s="13" t="inlineStr">
        <is>
          <t>One-time password verification flows</t>
        </is>
      </c>
      <c r="E16" s="14" t="inlineStr">
        <is>
          <t>P2 — High</t>
        </is>
      </c>
      <c r="F16" s="14" t="inlineStr">
        <is>
          <t>Phase 1 — MVP</t>
        </is>
      </c>
      <c r="G16" s="14" t="inlineStr">
        <is>
          <t>Completed</t>
        </is>
      </c>
      <c r="H16" s="14" t="inlineStr">
        <is>
          <t>Complete</t>
        </is>
      </c>
      <c r="I16" s="14" t="inlineStr">
        <is>
          <t>Complete</t>
        </is>
      </c>
      <c r="J16" s="15">
        <f>IF(G16="Completed",100,IF(G16="Deferred",0,IF(G16="Cancelled",0,IF(G16="Not Started",0,IF(G16="On Hold",IF(OR(H16="Complete",H16="N/A"),50,25),ROUND((IF(H16="Complete",100,IF(H16="In Progress",50,IF(H16="Blocked",25,0)))+IF(I16="Complete",100,IF(I16="In Progress",50,IF(I16="Blocked",25,IF(I16="N/A",100,0)))))/2,0))))))</f>
        <v/>
      </c>
      <c r="K16" s="15">
        <f>IF(G16="Completed","Green",IF(G16="Deferred","Grey",IF(G16="Cancelled","Grey",IF(G16="On Hold","Red",IF(J16&gt;=80,"Green",IF(J16&gt;=40,"Amber","Red"))))))</f>
        <v/>
      </c>
      <c r="L16" s="14" t="inlineStr">
        <is>
          <t>Backend Lead</t>
        </is>
      </c>
      <c r="M16" s="14" t="inlineStr">
        <is>
          <t>Engineering Manager</t>
        </is>
      </c>
      <c r="N16" s="16" t="n">
        <v>46113</v>
      </c>
      <c r="O16" s="16" t="n">
        <v>46143</v>
      </c>
      <c r="P16" s="16" t="n"/>
      <c r="Q16" s="16" t="n">
        <v>46170</v>
      </c>
      <c r="R16" s="14" t="inlineStr">
        <is>
          <t>FTR-011</t>
        </is>
      </c>
      <c r="S16" s="13" t="inlineStr">
        <is>
          <t>Live</t>
        </is>
      </c>
    </row>
    <row r="17">
      <c r="A17" s="17" t="inlineStr">
        <is>
          <t>FTR-006</t>
        </is>
      </c>
      <c r="B17" s="17" t="inlineStr">
        <is>
          <t>Platform</t>
        </is>
      </c>
      <c r="C17" s="18" t="inlineStr">
        <is>
          <t>Role-based route guards</t>
        </is>
      </c>
      <c r="D17" s="19" t="inlineStr">
        <is>
          <t>Middleware and hooks enforcing portal access</t>
        </is>
      </c>
      <c r="E17" s="20" t="inlineStr">
        <is>
          <t>P1 — Critical</t>
        </is>
      </c>
      <c r="F17" s="20" t="inlineStr">
        <is>
          <t>Phase 1 — MVP</t>
        </is>
      </c>
      <c r="G17" s="20" t="inlineStr">
        <is>
          <t>In Progress</t>
        </is>
      </c>
      <c r="H17" s="20" t="inlineStr">
        <is>
          <t>Complete</t>
        </is>
      </c>
      <c r="I17" s="20" t="inlineStr">
        <is>
          <t>In Progress</t>
        </is>
      </c>
      <c r="J17" s="21">
        <f>IF(G17="Completed",100,IF(G17="Deferred",0,IF(G17="Cancelled",0,IF(G17="Not Started",0,IF(G17="On Hold",IF(OR(H17="Complete",H17="N/A"),50,25),ROUND((IF(H17="Complete",100,IF(H17="In Progress",50,IF(H17="Blocked",25,0)))+IF(I17="Complete",100,IF(I17="In Progress",50,IF(I17="Blocked",25,IF(I17="N/A",100,0)))))/2,0))))))</f>
        <v/>
      </c>
      <c r="K17" s="21">
        <f>IF(G17="Completed","Green",IF(G17="Deferred","Grey",IF(G17="Cancelled","Grey",IF(G17="On Hold","Red",IF(J17&gt;=80,"Green",IF(J17&gt;=40,"Amber","Red"))))))</f>
        <v/>
      </c>
      <c r="L17" s="20" t="inlineStr">
        <is>
          <t>Platform Lead</t>
        </is>
      </c>
      <c r="M17" s="20" t="inlineStr">
        <is>
          <t>Engineering Manager</t>
        </is>
      </c>
      <c r="N17" s="22" t="n">
        <v>46127</v>
      </c>
      <c r="O17" s="22" t="n">
        <v>46174</v>
      </c>
      <c r="P17" s="22" t="n"/>
      <c r="Q17" s="22" t="n">
        <v>46170</v>
      </c>
      <c r="R17" s="20" t="inlineStr">
        <is>
          <t>FTR-002</t>
        </is>
      </c>
      <c r="S17" s="19" t="inlineStr">
        <is>
          <t>Demo bypass flags in dev</t>
        </is>
      </c>
    </row>
    <row r="18">
      <c r="A18" s="4" t="inlineStr">
        <is>
          <t>FTR-007</t>
        </is>
      </c>
      <c r="B18" s="4" t="inlineStr">
        <is>
          <t>Platform</t>
        </is>
      </c>
      <c r="C18" s="12" t="inlineStr">
        <is>
          <t>API authorization (RBAC audit)</t>
        </is>
      </c>
      <c r="D18" s="13" t="inlineStr">
        <is>
          <t>requireRole on all API route handlers</t>
        </is>
      </c>
      <c r="E18" s="14" t="inlineStr">
        <is>
          <t>P1 — Critical</t>
        </is>
      </c>
      <c r="F18" s="14" t="inlineStr">
        <is>
          <t>Phase 1 — Hardening</t>
        </is>
      </c>
      <c r="G18" s="14" t="inlineStr">
        <is>
          <t>In Progress</t>
        </is>
      </c>
      <c r="H18" s="14" t="inlineStr">
        <is>
          <t>N/A</t>
        </is>
      </c>
      <c r="I18" s="14" t="inlineStr">
        <is>
          <t>In Progress</t>
        </is>
      </c>
      <c r="J18" s="15">
        <f>IF(G18="Completed",100,IF(G18="Deferred",0,IF(G18="Cancelled",0,IF(G18="Not Started",0,IF(G18="On Hold",IF(OR(H18="Complete",H18="N/A"),50,25),ROUND((IF(H18="Complete",100,IF(H18="In Progress",50,IF(H18="Blocked",25,0)))+IF(I18="Complete",100,IF(I18="In Progress",50,IF(I18="Blocked",25,IF(I18="N/A",100,0)))))/2,0))))))</f>
        <v/>
      </c>
      <c r="K18" s="15">
        <f>IF(G18="Completed","Green",IF(G18="Deferred","Grey",IF(G18="Cancelled","Grey",IF(G18="On Hold","Red",IF(J18&gt;=80,"Green",IF(J18&gt;=40,"Amber","Red"))))))</f>
        <v/>
      </c>
      <c r="L18" s="14" t="inlineStr">
        <is>
          <t>Backend Lead</t>
        </is>
      </c>
      <c r="M18" s="14" t="inlineStr">
        <is>
          <t>Engineering Manager</t>
        </is>
      </c>
      <c r="N18" s="16" t="n">
        <v>46157</v>
      </c>
      <c r="O18" s="16" t="n">
        <v>46188</v>
      </c>
      <c r="P18" s="16" t="n"/>
      <c r="Q18" s="16" t="n">
        <v>46170</v>
      </c>
      <c r="R18" s="14" t="inlineStr">
        <is>
          <t>FTR-006</t>
        </is>
      </c>
      <c r="S18" s="13" t="inlineStr">
        <is>
          <t>2 of 28 routes wired</t>
        </is>
      </c>
    </row>
    <row r="19">
      <c r="A19" s="17" t="inlineStr">
        <is>
          <t>FTR-008</t>
        </is>
      </c>
      <c r="B19" s="17" t="inlineStr">
        <is>
          <t>Platform</t>
        </is>
      </c>
      <c r="C19" s="18" t="inlineStr">
        <is>
          <t>Database schema (Prisma + Postgres)</t>
        </is>
      </c>
      <c r="D19" s="19" t="inlineStr">
        <is>
          <t>Core domain models and migrations</t>
        </is>
      </c>
      <c r="E19" s="20" t="inlineStr">
        <is>
          <t>P1 — Critical</t>
        </is>
      </c>
      <c r="F19" s="20" t="inlineStr">
        <is>
          <t>Phase 1 — MVP</t>
        </is>
      </c>
      <c r="G19" s="20" t="inlineStr">
        <is>
          <t>In Progress</t>
        </is>
      </c>
      <c r="H19" s="20" t="inlineStr">
        <is>
          <t>N/A</t>
        </is>
      </c>
      <c r="I19" s="20" t="inlineStr">
        <is>
          <t>In Progress</t>
        </is>
      </c>
      <c r="J19" s="21">
        <f>IF(G19="Completed",100,IF(G19="Deferred",0,IF(G19="Cancelled",0,IF(G19="Not Started",0,IF(G19="On Hold",IF(OR(H19="Complete",H19="N/A"),50,25),ROUND((IF(H19="Complete",100,IF(H19="In Progress",50,IF(H19="Blocked",25,0)))+IF(I19="Complete",100,IF(I19="In Progress",50,IF(I19="Blocked",25,IF(I19="N/A",100,0)))))/2,0))))))</f>
        <v/>
      </c>
      <c r="K19" s="21">
        <f>IF(G19="Completed","Green",IF(G19="Deferred","Grey",IF(G19="Cancelled","Grey",IF(G19="On Hold","Red",IF(J19&gt;=80,"Green",IF(J19&gt;=40,"Amber","Red"))))))</f>
        <v/>
      </c>
      <c r="L19" s="20" t="inlineStr">
        <is>
          <t>Backend Lead</t>
        </is>
      </c>
      <c r="M19" s="20" t="inlineStr">
        <is>
          <t>Engineering Manager</t>
        </is>
      </c>
      <c r="N19" s="22" t="n">
        <v>46096</v>
      </c>
      <c r="O19" s="22" t="n">
        <v>46203</v>
      </c>
      <c r="P19" s="22" t="n"/>
      <c r="Q19" s="22" t="n">
        <v>46170</v>
      </c>
      <c r="R19" s="20" t="inlineStr">
        <is>
          <t>—</t>
        </is>
      </c>
      <c r="S19" s="19" t="inlineStr">
        <is>
          <t>Schema exists; many domains mock-backed</t>
        </is>
      </c>
    </row>
    <row r="20">
      <c r="A20" s="4" t="inlineStr">
        <is>
          <t>FTR-009</t>
        </is>
      </c>
      <c r="B20" s="4" t="inlineStr">
        <is>
          <t>Platform</t>
        </is>
      </c>
      <c r="C20" s="12" t="inlineStr">
        <is>
          <t>Observability (Sentry / logging)</t>
        </is>
      </c>
      <c r="D20" s="13" t="inlineStr">
        <is>
          <t>Error tracking, structured logs, alerting</t>
        </is>
      </c>
      <c r="E20" s="14" t="inlineStr">
        <is>
          <t>P1 — Critical</t>
        </is>
      </c>
      <c r="F20" s="14" t="inlineStr">
        <is>
          <t>Phase 1 — Hardening</t>
        </is>
      </c>
      <c r="G20" s="14" t="inlineStr">
        <is>
          <t>Not Started</t>
        </is>
      </c>
      <c r="H20" s="14" t="inlineStr">
        <is>
          <t>N/A</t>
        </is>
      </c>
      <c r="I20" s="14" t="inlineStr">
        <is>
          <t>Not Started</t>
        </is>
      </c>
      <c r="J20" s="15">
        <f>IF(G20="Completed",100,IF(G20="Deferred",0,IF(G20="Cancelled",0,IF(G20="Not Started",0,IF(G20="On Hold",IF(OR(H20="Complete",H20="N/A"),50,25),ROUND((IF(H20="Complete",100,IF(H20="In Progress",50,IF(H20="Blocked",25,0)))+IF(I20="Complete",100,IF(I20="In Progress",50,IF(I20="Blocked",25,IF(I20="N/A",100,0)))))/2,0))))))</f>
        <v/>
      </c>
      <c r="K20" s="15">
        <f>IF(G20="Completed","Green",IF(G20="Deferred","Grey",IF(G20="Cancelled","Grey",IF(G20="On Hold","Red",IF(J20&gt;=80,"Green",IF(J20&gt;=40,"Amber","Red"))))))</f>
        <v/>
      </c>
      <c r="L20" s="14" t="inlineStr">
        <is>
          <t>DevOps / SRE</t>
        </is>
      </c>
      <c r="M20" s="14" t="inlineStr">
        <is>
          <t>Engineering Manager</t>
        </is>
      </c>
      <c r="N20" s="16" t="n">
        <v>46174</v>
      </c>
      <c r="O20" s="16" t="n">
        <v>46218</v>
      </c>
      <c r="P20" s="16" t="n"/>
      <c r="Q20" s="16" t="n">
        <v>46170</v>
      </c>
      <c r="R20" s="14" t="inlineStr">
        <is>
          <t>—</t>
        </is>
      </c>
      <c r="S20" s="13" t="inlineStr">
        <is>
          <t>Production blocker</t>
        </is>
      </c>
    </row>
    <row r="21">
      <c r="A21" s="17" t="inlineStr">
        <is>
          <t>FTR-010</t>
        </is>
      </c>
      <c r="B21" s="17" t="inlineStr">
        <is>
          <t>Platform</t>
        </is>
      </c>
      <c r="C21" s="18" t="inlineStr">
        <is>
          <t>Security headers &amp; CSRF</t>
        </is>
      </c>
      <c r="D21" s="19" t="inlineStr">
        <is>
          <t>CSP, rate limiting, CSRF middleware</t>
        </is>
      </c>
      <c r="E21" s="20" t="inlineStr">
        <is>
          <t>P1 — Critical</t>
        </is>
      </c>
      <c r="F21" s="20" t="inlineStr">
        <is>
          <t>Phase 1 — Hardening</t>
        </is>
      </c>
      <c r="G21" s="20" t="inlineStr">
        <is>
          <t>Not Started</t>
        </is>
      </c>
      <c r="H21" s="20" t="inlineStr">
        <is>
          <t>N/A</t>
        </is>
      </c>
      <c r="I21" s="20" t="inlineStr">
        <is>
          <t>Not Started</t>
        </is>
      </c>
      <c r="J21" s="21">
        <f>IF(G21="Completed",100,IF(G21="Deferred",0,IF(G21="Cancelled",0,IF(G21="Not Started",0,IF(G21="On Hold",IF(OR(H21="Complete",H21="N/A"),50,25),ROUND((IF(H21="Complete",100,IF(H21="In Progress",50,IF(H21="Blocked",25,0)))+IF(I21="Complete",100,IF(I21="In Progress",50,IF(I21="Blocked",25,IF(I21="N/A",100,0)))))/2,0))))))</f>
        <v/>
      </c>
      <c r="K21" s="21">
        <f>IF(G21="Completed","Green",IF(G21="Deferred","Grey",IF(G21="Cancelled","Grey",IF(G21="On Hold","Red",IF(J21&gt;=80,"Green",IF(J21&gt;=40,"Amber","Red"))))))</f>
        <v/>
      </c>
      <c r="L21" s="20" t="inlineStr">
        <is>
          <t>Security Lead</t>
        </is>
      </c>
      <c r="M21" s="20" t="inlineStr">
        <is>
          <t>Engineering Manager</t>
        </is>
      </c>
      <c r="N21" s="22" t="n">
        <v>46188</v>
      </c>
      <c r="O21" s="22" t="n">
        <v>46204</v>
      </c>
      <c r="P21" s="22" t="n"/>
      <c r="Q21" s="22" t="n">
        <v>46170</v>
      </c>
      <c r="R21" s="20" t="inlineStr">
        <is>
          <t>FTR-007</t>
        </is>
      </c>
      <c r="S21" s="19" t="inlineStr"/>
    </row>
    <row r="22">
      <c r="A22" s="4" t="inlineStr">
        <is>
          <t>FTR-011</t>
        </is>
      </c>
      <c r="B22" s="4" t="inlineStr">
        <is>
          <t>Platform</t>
        </is>
      </c>
      <c r="C22" s="12" t="inlineStr">
        <is>
          <t>Transactional email</t>
        </is>
      </c>
      <c r="D22" s="13" t="inlineStr">
        <is>
          <t>Nodemailer + React Email templates</t>
        </is>
      </c>
      <c r="E22" s="14" t="inlineStr">
        <is>
          <t>P2 — High</t>
        </is>
      </c>
      <c r="F22" s="14" t="inlineStr">
        <is>
          <t>Phase 1 — MVP</t>
        </is>
      </c>
      <c r="G22" s="14" t="inlineStr">
        <is>
          <t>In Progress</t>
        </is>
      </c>
      <c r="H22" s="14" t="inlineStr">
        <is>
          <t>Complete</t>
        </is>
      </c>
      <c r="I22" s="14" t="inlineStr">
        <is>
          <t>In Progress</t>
        </is>
      </c>
      <c r="J22" s="15">
        <f>IF(G22="Completed",100,IF(G22="Deferred",0,IF(G22="Cancelled",0,IF(G22="Not Started",0,IF(G22="On Hold",IF(OR(H22="Complete",H22="N/A"),50,25),ROUND((IF(H22="Complete",100,IF(H22="In Progress",50,IF(H22="Blocked",25,0)))+IF(I22="Complete",100,IF(I22="In Progress",50,IF(I22="Blocked",25,IF(I22="N/A",100,0)))))/2,0))))))</f>
        <v/>
      </c>
      <c r="K22" s="15">
        <f>IF(G22="Completed","Green",IF(G22="Deferred","Grey",IF(G22="Cancelled","Grey",IF(G22="On Hold","Red",IF(J22&gt;=80,"Green",IF(J22&gt;=40,"Amber","Red"))))))</f>
        <v/>
      </c>
      <c r="L22" s="14" t="inlineStr">
        <is>
          <t>Backend Lead</t>
        </is>
      </c>
      <c r="M22" s="14" t="inlineStr">
        <is>
          <t>Engineering Manager</t>
        </is>
      </c>
      <c r="N22" s="16" t="n">
        <v>46113</v>
      </c>
      <c r="O22" s="16" t="n">
        <v>46174</v>
      </c>
      <c r="P22" s="16" t="n"/>
      <c r="Q22" s="16" t="n">
        <v>46170</v>
      </c>
      <c r="R22" s="14" t="inlineStr">
        <is>
          <t>—</t>
        </is>
      </c>
      <c r="S22" s="13" t="inlineStr">
        <is>
          <t>Rate limit + RBAC audit pending</t>
        </is>
      </c>
    </row>
    <row r="23">
      <c r="A23" s="17" t="inlineStr">
        <is>
          <t>FTR-012</t>
        </is>
      </c>
      <c r="B23" s="17" t="inlineStr">
        <is>
          <t>Platform</t>
        </is>
      </c>
      <c r="C23" s="18" t="inlineStr">
        <is>
          <t>Razorpay — order creation</t>
        </is>
      </c>
      <c r="D23" s="19" t="inlineStr">
        <is>
          <t>Enterprise milestone payment order intent</t>
        </is>
      </c>
      <c r="E23" s="20" t="inlineStr">
        <is>
          <t>P1 — Critical</t>
        </is>
      </c>
      <c r="F23" s="20" t="inlineStr">
        <is>
          <t>Phase 1 — MVP</t>
        </is>
      </c>
      <c r="G23" s="20" t="inlineStr">
        <is>
          <t>Completed</t>
        </is>
      </c>
      <c r="H23" s="20" t="inlineStr">
        <is>
          <t>Complete</t>
        </is>
      </c>
      <c r="I23" s="20" t="inlineStr">
        <is>
          <t>Complete</t>
        </is>
      </c>
      <c r="J23" s="21">
        <f>IF(G23="Completed",100,IF(G23="Deferred",0,IF(G23="Cancelled",0,IF(G23="Not Started",0,IF(G23="On Hold",IF(OR(H23="Complete",H23="N/A"),50,25),ROUND((IF(H23="Complete",100,IF(H23="In Progress",50,IF(H23="Blocked",25,0)))+IF(I23="Complete",100,IF(I23="In Progress",50,IF(I23="Blocked",25,IF(I23="N/A",100,0)))))/2,0))))))</f>
        <v/>
      </c>
      <c r="K23" s="21">
        <f>IF(G23="Completed","Green",IF(G23="Deferred","Grey",IF(G23="Cancelled","Grey",IF(G23="On Hold","Red",IF(J23&gt;=80,"Green",IF(J23&gt;=40,"Amber","Red"))))))</f>
        <v/>
      </c>
      <c r="L23" s="20" t="inlineStr">
        <is>
          <t>Backend Lead</t>
        </is>
      </c>
      <c r="M23" s="20" t="inlineStr">
        <is>
          <t>Engineering Manager</t>
        </is>
      </c>
      <c r="N23" s="22" t="n">
        <v>46113</v>
      </c>
      <c r="O23" s="22" t="n">
        <v>46157</v>
      </c>
      <c r="P23" s="22" t="n"/>
      <c r="Q23" s="22" t="n">
        <v>46170</v>
      </c>
      <c r="R23" s="20" t="inlineStr">
        <is>
          <t>FTR-048</t>
        </is>
      </c>
      <c r="S23" s="19" t="inlineStr">
        <is>
          <t>Gated by acceptance decision</t>
        </is>
      </c>
    </row>
    <row r="24">
      <c r="A24" s="4" t="inlineStr">
        <is>
          <t>FTR-013</t>
        </is>
      </c>
      <c r="B24" s="4" t="inlineStr">
        <is>
          <t>Platform</t>
        </is>
      </c>
      <c r="C24" s="12" t="inlineStr">
        <is>
          <t>Razorpay — webhooks</t>
        </is>
      </c>
      <c r="D24" s="13" t="inlineStr">
        <is>
          <t>HMAC signature verification, idempotent events</t>
        </is>
      </c>
      <c r="E24" s="14" t="inlineStr">
        <is>
          <t>P1 — Critical</t>
        </is>
      </c>
      <c r="F24" s="14" t="inlineStr">
        <is>
          <t>Phase 1 — MVP</t>
        </is>
      </c>
      <c r="G24" s="14" t="inlineStr">
        <is>
          <t>Completed</t>
        </is>
      </c>
      <c r="H24" s="14" t="inlineStr">
        <is>
          <t>N/A</t>
        </is>
      </c>
      <c r="I24" s="14" t="inlineStr">
        <is>
          <t>Complete</t>
        </is>
      </c>
      <c r="J24" s="15">
        <f>IF(G24="Completed",100,IF(G24="Deferred",0,IF(G24="Cancelled",0,IF(G24="Not Started",0,IF(G24="On Hold",IF(OR(H24="Complete",H24="N/A"),50,25),ROUND((IF(H24="Complete",100,IF(H24="In Progress",50,IF(H24="Blocked",25,0)))+IF(I24="Complete",100,IF(I24="In Progress",50,IF(I24="Blocked",25,IF(I24="N/A",100,0)))))/2,0))))))</f>
        <v/>
      </c>
      <c r="K24" s="15">
        <f>IF(G24="Completed","Green",IF(G24="Deferred","Grey",IF(G24="Cancelled","Grey",IF(G24="On Hold","Red",IF(J24&gt;=80,"Green",IF(J24&gt;=40,"Amber","Red"))))))</f>
        <v/>
      </c>
      <c r="L24" s="14" t="inlineStr">
        <is>
          <t>Backend Lead</t>
        </is>
      </c>
      <c r="M24" s="14" t="inlineStr">
        <is>
          <t>Engineering Manager</t>
        </is>
      </c>
      <c r="N24" s="16" t="n">
        <v>46127</v>
      </c>
      <c r="O24" s="16" t="n">
        <v>46157</v>
      </c>
      <c r="P24" s="16" t="n"/>
      <c r="Q24" s="16" t="n">
        <v>46170</v>
      </c>
      <c r="R24" s="14" t="inlineStr">
        <is>
          <t>FTR-012</t>
        </is>
      </c>
      <c r="S24" s="13" t="inlineStr">
        <is>
          <t>Shipped</t>
        </is>
      </c>
    </row>
    <row r="25">
      <c r="A25" s="17" t="inlineStr">
        <is>
          <t>FTR-014</t>
        </is>
      </c>
      <c r="B25" s="17" t="inlineStr">
        <is>
          <t>Platform</t>
        </is>
      </c>
      <c r="C25" s="18" t="inlineStr">
        <is>
          <t>Razorpay — payouts</t>
        </is>
      </c>
      <c r="D25" s="19" t="inlineStr">
        <is>
          <t>Platform to contributor payout leg</t>
        </is>
      </c>
      <c r="E25" s="20" t="inlineStr">
        <is>
          <t>P2 — High</t>
        </is>
      </c>
      <c r="F25" s="20" t="inlineStr">
        <is>
          <t>Phase 1 — Hardening</t>
        </is>
      </c>
      <c r="G25" s="20" t="inlineStr">
        <is>
          <t>Not Started</t>
        </is>
      </c>
      <c r="H25" s="20" t="inlineStr">
        <is>
          <t>In Progress</t>
        </is>
      </c>
      <c r="I25" s="20" t="inlineStr">
        <is>
          <t>Not Started</t>
        </is>
      </c>
      <c r="J25" s="21">
        <f>IF(G25="Completed",100,IF(G25="Deferred",0,IF(G25="Cancelled",0,IF(G25="Not Started",0,IF(G25="On Hold",IF(OR(H25="Complete",H25="N/A"),50,25),ROUND((IF(H25="Complete",100,IF(H25="In Progress",50,IF(H25="Blocked",25,0)))+IF(I25="Complete",100,IF(I25="In Progress",50,IF(I25="Blocked",25,IF(I25="N/A",100,0)))))/2,0))))))</f>
        <v/>
      </c>
      <c r="K25" s="21">
        <f>IF(G25="Completed","Green",IF(G25="Deferred","Grey",IF(G25="Cancelled","Grey",IF(G25="On Hold","Red",IF(J25&gt;=80,"Green",IF(J25&gt;=40,"Amber","Red"))))))</f>
        <v/>
      </c>
      <c r="L25" s="20" t="inlineStr">
        <is>
          <t>Backend Lead</t>
        </is>
      </c>
      <c r="M25" s="20" t="inlineStr">
        <is>
          <t>Engineering Manager</t>
        </is>
      </c>
      <c r="N25" s="22" t="n">
        <v>46204</v>
      </c>
      <c r="O25" s="22" t="n">
        <v>46233</v>
      </c>
      <c r="P25" s="22" t="n"/>
      <c r="Q25" s="22" t="n">
        <v>46170</v>
      </c>
      <c r="R25" s="20" t="inlineStr">
        <is>
          <t>FTR-012</t>
        </is>
      </c>
      <c r="S25" s="19" t="inlineStr">
        <is>
          <t>Conditional on payout go-live</t>
        </is>
      </c>
    </row>
    <row r="26">
      <c r="A26" s="4" t="inlineStr">
        <is>
          <t>FTR-015</t>
        </is>
      </c>
      <c r="B26" s="4" t="inlineStr">
        <is>
          <t>Platform</t>
        </is>
      </c>
      <c r="C26" s="12" t="inlineStr">
        <is>
          <t>Audit log</t>
        </is>
      </c>
      <c r="D26" s="13" t="inlineStr">
        <is>
          <t>Immutable audit trail for state changes</t>
        </is>
      </c>
      <c r="E26" s="14" t="inlineStr">
        <is>
          <t>P1 — Critical</t>
        </is>
      </c>
      <c r="F26" s="14" t="inlineStr">
        <is>
          <t>Phase 1 — MVP</t>
        </is>
      </c>
      <c r="G26" s="14" t="inlineStr">
        <is>
          <t>In Progress</t>
        </is>
      </c>
      <c r="H26" s="14" t="inlineStr">
        <is>
          <t>Complete</t>
        </is>
      </c>
      <c r="I26" s="14" t="inlineStr">
        <is>
          <t>In Progress</t>
        </is>
      </c>
      <c r="J26" s="15">
        <f>IF(G26="Completed",100,IF(G26="Deferred",0,IF(G26="Cancelled",0,IF(G26="Not Started",0,IF(G26="On Hold",IF(OR(H26="Complete",H26="N/A"),50,25),ROUND((IF(H26="Complete",100,IF(H26="In Progress",50,IF(H26="Blocked",25,0)))+IF(I26="Complete",100,IF(I26="In Progress",50,IF(I26="Blocked",25,IF(I26="N/A",100,0)))))/2,0))))))</f>
        <v/>
      </c>
      <c r="K26" s="15">
        <f>IF(G26="Completed","Green",IF(G26="Deferred","Grey",IF(G26="Cancelled","Grey",IF(G26="On Hold","Red",IF(J26&gt;=80,"Green",IF(J26&gt;=40,"Amber","Red"))))))</f>
        <v/>
      </c>
      <c r="L26" s="14" t="inlineStr">
        <is>
          <t>Backend Lead</t>
        </is>
      </c>
      <c r="M26" s="14" t="inlineStr">
        <is>
          <t>Engineering Manager</t>
        </is>
      </c>
      <c r="N26" s="16" t="n">
        <v>46113</v>
      </c>
      <c r="O26" s="16" t="n">
        <v>46188</v>
      </c>
      <c r="P26" s="16" t="n"/>
      <c r="Q26" s="16" t="n">
        <v>46170</v>
      </c>
      <c r="R26" s="14" t="inlineStr">
        <is>
          <t>FTR-008</t>
        </is>
      </c>
      <c r="S26" s="13" t="inlineStr">
        <is>
          <t>Acceptance decisions persisted</t>
        </is>
      </c>
    </row>
    <row r="27">
      <c r="A27" s="17" t="inlineStr">
        <is>
          <t>FTR-016</t>
        </is>
      </c>
      <c r="B27" s="17" t="inlineStr">
        <is>
          <t>Platform</t>
        </is>
      </c>
      <c r="C27" s="18" t="inlineStr">
        <is>
          <t>Subscription &amp; plan gating</t>
        </is>
      </c>
      <c r="D27" s="19" t="inlineStr">
        <is>
          <t>SaaS plan limits, usage, feature gates</t>
        </is>
      </c>
      <c r="E27" s="20" t="inlineStr">
        <is>
          <t>P2 — High</t>
        </is>
      </c>
      <c r="F27" s="20" t="inlineStr">
        <is>
          <t>Phase 1 — MVP</t>
        </is>
      </c>
      <c r="G27" s="20" t="inlineStr">
        <is>
          <t>In Progress</t>
        </is>
      </c>
      <c r="H27" s="20" t="inlineStr">
        <is>
          <t>Complete</t>
        </is>
      </c>
      <c r="I27" s="20" t="inlineStr">
        <is>
          <t>In Progress</t>
        </is>
      </c>
      <c r="J27" s="21">
        <f>IF(G27="Completed",100,IF(G27="Deferred",0,IF(G27="Cancelled",0,IF(G27="Not Started",0,IF(G27="On Hold",IF(OR(H27="Complete",H27="N/A"),50,25),ROUND((IF(H27="Complete",100,IF(H27="In Progress",50,IF(H27="Blocked",25,0)))+IF(I27="Complete",100,IF(I27="In Progress",50,IF(I27="Blocked",25,IF(I27="N/A",100,0)))))/2,0))))))</f>
        <v/>
      </c>
      <c r="K27" s="21">
        <f>IF(G27="Completed","Green",IF(G27="Deferred","Grey",IF(G27="Cancelled","Grey",IF(G27="On Hold","Red",IF(J27&gt;=80,"Green",IF(J27&gt;=40,"Amber","Red"))))))</f>
        <v/>
      </c>
      <c r="L27" s="20" t="inlineStr">
        <is>
          <t>Full Stack Developer</t>
        </is>
      </c>
      <c r="M27" s="20" t="inlineStr">
        <is>
          <t>Engineering Manager</t>
        </is>
      </c>
      <c r="N27" s="22" t="n">
        <v>46143</v>
      </c>
      <c r="O27" s="22" t="n">
        <v>46170</v>
      </c>
      <c r="P27" s="22" t="n"/>
      <c r="Q27" s="22" t="n">
        <v>46170</v>
      </c>
      <c r="R27" s="20" t="inlineStr">
        <is>
          <t>FTR-008</t>
        </is>
      </c>
      <c r="S27" s="19" t="inlineStr">
        <is>
          <t>Sidebar plan chip shipped</t>
        </is>
      </c>
    </row>
    <row r="28">
      <c r="A28" s="4" t="inlineStr">
        <is>
          <t>FTR-017</t>
        </is>
      </c>
      <c r="B28" s="4" t="inlineStr">
        <is>
          <t>Platform</t>
        </is>
      </c>
      <c r="C28" s="12" t="inlineStr">
        <is>
          <t>Backend API handoff</t>
        </is>
      </c>
      <c r="D28" s="13" t="inlineStr">
        <is>
          <t>External backend team scaffold + contract</t>
        </is>
      </c>
      <c r="E28" s="14" t="inlineStr">
        <is>
          <t>P2 — High</t>
        </is>
      </c>
      <c r="F28" s="14" t="inlineStr">
        <is>
          <t>Phase 1 — MVP</t>
        </is>
      </c>
      <c r="G28" s="14" t="inlineStr">
        <is>
          <t>In Progress</t>
        </is>
      </c>
      <c r="H28" s="14" t="inlineStr">
        <is>
          <t>Complete</t>
        </is>
      </c>
      <c r="I28" s="14" t="inlineStr">
        <is>
          <t>In Progress</t>
        </is>
      </c>
      <c r="J28" s="15">
        <f>IF(G28="Completed",100,IF(G28="Deferred",0,IF(G28="Cancelled",0,IF(G28="Not Started",0,IF(G28="On Hold",IF(OR(H28="Complete",H28="N/A"),50,25),ROUND((IF(H28="Complete",100,IF(H28="In Progress",50,IF(H28="Blocked",25,0)))+IF(I28="Complete",100,IF(I28="In Progress",50,IF(I28="Blocked",25,IF(I28="N/A",100,0)))))/2,0))))))</f>
        <v/>
      </c>
      <c r="K28" s="15">
        <f>IF(G28="Completed","Green",IF(G28="Deferred","Grey",IF(G28="Cancelled","Grey",IF(G28="On Hold","Red",IF(J28&gt;=80,"Green",IF(J28&gt;=40,"Amber","Red"))))))</f>
        <v/>
      </c>
      <c r="L28" s="14" t="inlineStr">
        <is>
          <t>Engineering Manager</t>
        </is>
      </c>
      <c r="M28" s="14" t="inlineStr">
        <is>
          <t>Engineering Manager</t>
        </is>
      </c>
      <c r="N28" s="16" t="n">
        <v>46143</v>
      </c>
      <c r="O28" s="16" t="n">
        <v>46170</v>
      </c>
      <c r="P28" s="16" t="n"/>
      <c r="Q28" s="16" t="n">
        <v>46170</v>
      </c>
      <c r="R28" s="14" t="inlineStr">
        <is>
          <t>—</t>
        </is>
      </c>
      <c r="S28" s="13" t="inlineStr">
        <is>
          <t>Frontend owns Prisma</t>
        </is>
      </c>
    </row>
    <row r="29">
      <c r="A29" s="17" t="inlineStr">
        <is>
          <t>FTR-020</t>
        </is>
      </c>
      <c r="B29" s="17" t="inlineStr">
        <is>
          <t>Contributor</t>
        </is>
      </c>
      <c r="C29" s="18" t="inlineStr">
        <is>
          <t>Dashboard</t>
        </is>
      </c>
      <c r="D29" s="19" t="inlineStr">
        <is>
          <t>Contributor home — tasks, progress, alerts</t>
        </is>
      </c>
      <c r="E29" s="20" t="inlineStr">
        <is>
          <t>P1 — Critical</t>
        </is>
      </c>
      <c r="F29" s="20" t="inlineStr">
        <is>
          <t>Phase 1 — MVP</t>
        </is>
      </c>
      <c r="G29" s="20" t="inlineStr">
        <is>
          <t>In Progress</t>
        </is>
      </c>
      <c r="H29" s="20" t="inlineStr">
        <is>
          <t>Complete</t>
        </is>
      </c>
      <c r="I29" s="20" t="inlineStr">
        <is>
          <t>In Progress</t>
        </is>
      </c>
      <c r="J29" s="21">
        <f>IF(G29="Completed",100,IF(G29="Deferred",0,IF(G29="Cancelled",0,IF(G29="Not Started",0,IF(G29="On Hold",IF(OR(H29="Complete",H29="N/A"),50,25),ROUND((IF(H29="Complete",100,IF(H29="In Progress",50,IF(H29="Blocked",25,0)))+IF(I29="Complete",100,IF(I29="In Progress",50,IF(I29="Blocked",25,IF(I29="N/A",100,0)))))/2,0))))))</f>
        <v/>
      </c>
      <c r="K29" s="21">
        <f>IF(G29="Completed","Green",IF(G29="Deferred","Grey",IF(G29="Cancelled","Grey",IF(G29="On Hold","Red",IF(J29&gt;=80,"Green",IF(J29&gt;=40,"Amber","Red"))))))</f>
        <v/>
      </c>
      <c r="L29" s="20" t="inlineStr">
        <is>
          <t>Frontend Lead</t>
        </is>
      </c>
      <c r="M29" s="20" t="inlineStr">
        <is>
          <t>Engineering Manager</t>
        </is>
      </c>
      <c r="N29" s="22" t="n">
        <v>46113</v>
      </c>
      <c r="O29" s="22" t="n">
        <v>46143</v>
      </c>
      <c r="P29" s="22" t="n"/>
      <c r="Q29" s="22" t="n">
        <v>46170</v>
      </c>
      <c r="R29" s="20" t="inlineStr">
        <is>
          <t>FTR-021</t>
        </is>
      </c>
      <c r="S29" s="19" t="inlineStr">
        <is>
          <t>Mock / seed data</t>
        </is>
      </c>
    </row>
    <row r="30">
      <c r="A30" s="4" t="inlineStr">
        <is>
          <t>FTR-021</t>
        </is>
      </c>
      <c r="B30" s="4" t="inlineStr">
        <is>
          <t>Contributor</t>
        </is>
      </c>
      <c r="C30" s="12" t="inlineStr">
        <is>
          <t>Task workroom &amp; lifecycle</t>
        </is>
      </c>
      <c r="D30" s="13" t="inlineStr">
        <is>
          <t>Assigned → submit → review → approved flow</t>
        </is>
      </c>
      <c r="E30" s="14" t="inlineStr">
        <is>
          <t>P1 — Critical</t>
        </is>
      </c>
      <c r="F30" s="14" t="inlineStr">
        <is>
          <t>Phase 1 — MVP</t>
        </is>
      </c>
      <c r="G30" s="14" t="inlineStr">
        <is>
          <t>In Progress</t>
        </is>
      </c>
      <c r="H30" s="14" t="inlineStr">
        <is>
          <t>Complete</t>
        </is>
      </c>
      <c r="I30" s="14" t="inlineStr">
        <is>
          <t>In Progress</t>
        </is>
      </c>
      <c r="J30" s="15">
        <f>IF(G30="Completed",100,IF(G30="Deferred",0,IF(G30="Cancelled",0,IF(G30="Not Started",0,IF(G30="On Hold",IF(OR(H30="Complete",H30="N/A"),50,25),ROUND((IF(H30="Complete",100,IF(H30="In Progress",50,IF(H30="Blocked",25,0)))+IF(I30="Complete",100,IF(I30="In Progress",50,IF(I30="Blocked",25,IF(I30="N/A",100,0)))))/2,0))))))</f>
        <v/>
      </c>
      <c r="K30" s="15">
        <f>IF(G30="Completed","Green",IF(G30="Deferred","Grey",IF(G30="Cancelled","Grey",IF(G30="On Hold","Red",IF(J30&gt;=80,"Green",IF(J30&gt;=40,"Amber","Red"))))))</f>
        <v/>
      </c>
      <c r="L30" s="14" t="inlineStr">
        <is>
          <t>Full Stack Developer</t>
        </is>
      </c>
      <c r="M30" s="14" t="inlineStr">
        <is>
          <t>Engineering Manager</t>
        </is>
      </c>
      <c r="N30" s="16" t="n">
        <v>46127</v>
      </c>
      <c r="O30" s="16" t="n">
        <v>46203</v>
      </c>
      <c r="P30" s="16" t="n"/>
      <c r="Q30" s="16" t="n">
        <v>46170</v>
      </c>
      <c r="R30" s="14" t="inlineStr">
        <is>
          <t>FTR-090</t>
        </is>
      </c>
      <c r="S30" s="13" t="inlineStr">
        <is>
          <t>localStorage today</t>
        </is>
      </c>
    </row>
    <row r="31">
      <c r="A31" s="17" t="inlineStr">
        <is>
          <t>FTR-022</t>
        </is>
      </c>
      <c r="B31" s="17" t="inlineStr">
        <is>
          <t>Contributor</t>
        </is>
      </c>
      <c r="C31" s="18" t="inlineStr">
        <is>
          <t>Submissions &amp; revisions</t>
        </is>
      </c>
      <c r="D31" s="19" t="inlineStr">
        <is>
          <t>Deliverable submit and rework loop</t>
        </is>
      </c>
      <c r="E31" s="20" t="inlineStr">
        <is>
          <t>P1 — Critical</t>
        </is>
      </c>
      <c r="F31" s="20" t="inlineStr">
        <is>
          <t>Phase 1 — MVP</t>
        </is>
      </c>
      <c r="G31" s="20" t="inlineStr">
        <is>
          <t>In Progress</t>
        </is>
      </c>
      <c r="H31" s="20" t="inlineStr">
        <is>
          <t>Complete</t>
        </is>
      </c>
      <c r="I31" s="20" t="inlineStr">
        <is>
          <t>In Progress</t>
        </is>
      </c>
      <c r="J31" s="21">
        <f>IF(G31="Completed",100,IF(G31="Deferred",0,IF(G31="Cancelled",0,IF(G31="Not Started",0,IF(G31="On Hold",IF(OR(H31="Complete",H31="N/A"),50,25),ROUND((IF(H31="Complete",100,IF(H31="In Progress",50,IF(H31="Blocked",25,0)))+IF(I31="Complete",100,IF(I31="In Progress",50,IF(I31="Blocked",25,IF(I31="N/A",100,0)))))/2,0))))))</f>
        <v/>
      </c>
      <c r="K31" s="21">
        <f>IF(G31="Completed","Green",IF(G31="Deferred","Grey",IF(G31="Cancelled","Grey",IF(G31="On Hold","Red",IF(J31&gt;=80,"Green",IF(J31&gt;=40,"Amber","Red"))))))</f>
        <v/>
      </c>
      <c r="L31" s="20" t="inlineStr">
        <is>
          <t>Full Stack Developer</t>
        </is>
      </c>
      <c r="M31" s="20" t="inlineStr">
        <is>
          <t>Engineering Manager</t>
        </is>
      </c>
      <c r="N31" s="22" t="n">
        <v>46127</v>
      </c>
      <c r="O31" s="22" t="n">
        <v>46203</v>
      </c>
      <c r="P31" s="22" t="n"/>
      <c r="Q31" s="22" t="n">
        <v>46170</v>
      </c>
      <c r="R31" s="20" t="inlineStr">
        <is>
          <t>FTR-021</t>
        </is>
      </c>
      <c r="S31" s="19" t="inlineStr"/>
    </row>
    <row r="32">
      <c r="A32" s="4" t="inlineStr">
        <is>
          <t>FTR-023</t>
        </is>
      </c>
      <c r="B32" s="4" t="inlineStr">
        <is>
          <t>Contributor</t>
        </is>
      </c>
      <c r="C32" s="12" t="inlineStr">
        <is>
          <t>Digital twin profile</t>
        </is>
      </c>
      <c r="D32" s="13" t="inlineStr">
        <is>
          <t>Skills, evidence, portfolio</t>
        </is>
      </c>
      <c r="E32" s="14" t="inlineStr">
        <is>
          <t>P2 — High</t>
        </is>
      </c>
      <c r="F32" s="14" t="inlineStr">
        <is>
          <t>Phase 1 — MVP</t>
        </is>
      </c>
      <c r="G32" s="14" t="inlineStr">
        <is>
          <t>In Progress</t>
        </is>
      </c>
      <c r="H32" s="14" t="inlineStr">
        <is>
          <t>Complete</t>
        </is>
      </c>
      <c r="I32" s="14" t="inlineStr">
        <is>
          <t>In Progress</t>
        </is>
      </c>
      <c r="J32" s="15">
        <f>IF(G32="Completed",100,IF(G32="Deferred",0,IF(G32="Cancelled",0,IF(G32="Not Started",0,IF(G32="On Hold",IF(OR(H32="Complete",H32="N/A"),50,25),ROUND((IF(H32="Complete",100,IF(H32="In Progress",50,IF(H32="Blocked",25,0)))+IF(I32="Complete",100,IF(I32="In Progress",50,IF(I32="Blocked",25,IF(I32="N/A",100,0)))))/2,0))))))</f>
        <v/>
      </c>
      <c r="K32" s="15">
        <f>IF(G32="Completed","Green",IF(G32="Deferred","Grey",IF(G32="Cancelled","Grey",IF(G32="On Hold","Red",IF(J32&gt;=80,"Green",IF(J32&gt;=40,"Amber","Red"))))))</f>
        <v/>
      </c>
      <c r="L32" s="14" t="inlineStr">
        <is>
          <t>Full Stack Developer</t>
        </is>
      </c>
      <c r="M32" s="14" t="inlineStr">
        <is>
          <t>Engineering Manager</t>
        </is>
      </c>
      <c r="N32" s="16" t="n">
        <v>46113</v>
      </c>
      <c r="O32" s="16" t="n">
        <v>46188</v>
      </c>
      <c r="P32" s="16" t="n"/>
      <c r="Q32" s="16" t="n">
        <v>46170</v>
      </c>
      <c r="R32" s="14" t="inlineStr">
        <is>
          <t>—</t>
        </is>
      </c>
      <c r="S32" s="13" t="inlineStr"/>
    </row>
    <row r="33">
      <c r="A33" s="17" t="inlineStr">
        <is>
          <t>FTR-024</t>
        </is>
      </c>
      <c r="B33" s="17" t="inlineStr">
        <is>
          <t>Contributor</t>
        </is>
      </c>
      <c r="C33" s="18" t="inlineStr">
        <is>
          <t>Onboarding flow</t>
        </is>
      </c>
      <c r="D33" s="19" t="inlineStr">
        <is>
          <t>Multi-step contributor registration</t>
        </is>
      </c>
      <c r="E33" s="20" t="inlineStr">
        <is>
          <t>P1 — Critical</t>
        </is>
      </c>
      <c r="F33" s="20" t="inlineStr">
        <is>
          <t>Phase 1 — MVP</t>
        </is>
      </c>
      <c r="G33" s="20" t="inlineStr">
        <is>
          <t>In Progress</t>
        </is>
      </c>
      <c r="H33" s="20" t="inlineStr">
        <is>
          <t>Complete</t>
        </is>
      </c>
      <c r="I33" s="20" t="inlineStr">
        <is>
          <t>In Progress</t>
        </is>
      </c>
      <c r="J33" s="21">
        <f>IF(G33="Completed",100,IF(G33="Deferred",0,IF(G33="Cancelled",0,IF(G33="Not Started",0,IF(G33="On Hold",IF(OR(H33="Complete",H33="N/A"),50,25),ROUND((IF(H33="Complete",100,IF(H33="In Progress",50,IF(H33="Blocked",25,0)))+IF(I33="Complete",100,IF(I33="In Progress",50,IF(I33="Blocked",25,IF(I33="N/A",100,0)))))/2,0))))))</f>
        <v/>
      </c>
      <c r="K33" s="21">
        <f>IF(G33="Completed","Green",IF(G33="Deferred","Grey",IF(G33="Cancelled","Grey",IF(G33="On Hold","Red",IF(J33&gt;=80,"Green",IF(J33&gt;=40,"Amber","Red"))))))</f>
        <v/>
      </c>
      <c r="L33" s="20" t="inlineStr">
        <is>
          <t>Full Stack Developer</t>
        </is>
      </c>
      <c r="M33" s="20" t="inlineStr">
        <is>
          <t>Engineering Manager</t>
        </is>
      </c>
      <c r="N33" s="22" t="n">
        <v>46113</v>
      </c>
      <c r="O33" s="22" t="n">
        <v>46174</v>
      </c>
      <c r="P33" s="22" t="n"/>
      <c r="Q33" s="22" t="n">
        <v>46170</v>
      </c>
      <c r="R33" s="20" t="inlineStr">
        <is>
          <t>FTR-002</t>
        </is>
      </c>
      <c r="S33" s="19" t="inlineStr"/>
    </row>
    <row r="34">
      <c r="A34" s="4" t="inlineStr">
        <is>
          <t>FTR-025</t>
        </is>
      </c>
      <c r="B34" s="4" t="inlineStr">
        <is>
          <t>Contributor</t>
        </is>
      </c>
      <c r="C34" s="12" t="inlineStr">
        <is>
          <t>Earnings &amp; payouts view</t>
        </is>
      </c>
      <c r="D34" s="13" t="inlineStr">
        <is>
          <t>Contributor earnings dashboard</t>
        </is>
      </c>
      <c r="E34" s="14" t="inlineStr">
        <is>
          <t>P2 — High</t>
        </is>
      </c>
      <c r="F34" s="14" t="inlineStr">
        <is>
          <t>Phase 1 — Hardening</t>
        </is>
      </c>
      <c r="G34" s="14" t="inlineStr">
        <is>
          <t>In Progress</t>
        </is>
      </c>
      <c r="H34" s="14" t="inlineStr">
        <is>
          <t>Complete</t>
        </is>
      </c>
      <c r="I34" s="14" t="inlineStr">
        <is>
          <t>Not Started</t>
        </is>
      </c>
      <c r="J34" s="15">
        <f>IF(G34="Completed",100,IF(G34="Deferred",0,IF(G34="Cancelled",0,IF(G34="Not Started",0,IF(G34="On Hold",IF(OR(H34="Complete",H34="N/A"),50,25),ROUND((IF(H34="Complete",100,IF(H34="In Progress",50,IF(H34="Blocked",25,0)))+IF(I34="Complete",100,IF(I34="In Progress",50,IF(I34="Blocked",25,IF(I34="N/A",100,0)))))/2,0))))))</f>
        <v/>
      </c>
      <c r="K34" s="15">
        <f>IF(G34="Completed","Green",IF(G34="Deferred","Grey",IF(G34="Cancelled","Grey",IF(G34="On Hold","Red",IF(J34&gt;=80,"Green",IF(J34&gt;=40,"Amber","Red"))))))</f>
        <v/>
      </c>
      <c r="L34" s="14" t="inlineStr">
        <is>
          <t>Frontend Lead</t>
        </is>
      </c>
      <c r="M34" s="14" t="inlineStr">
        <is>
          <t>Engineering Manager</t>
        </is>
      </c>
      <c r="N34" s="16" t="n">
        <v>46174</v>
      </c>
      <c r="O34" s="16" t="n">
        <v>46218</v>
      </c>
      <c r="P34" s="16" t="n"/>
      <c r="Q34" s="16" t="n">
        <v>46170</v>
      </c>
      <c r="R34" s="14" t="inlineStr">
        <is>
          <t>FTR-014</t>
        </is>
      </c>
      <c r="S34" s="13" t="inlineStr">
        <is>
          <t>Mock data</t>
        </is>
      </c>
    </row>
    <row r="35">
      <c r="A35" s="17" t="inlineStr">
        <is>
          <t>FTR-026</t>
        </is>
      </c>
      <c r="B35" s="17" t="inlineStr">
        <is>
          <t>Contributor</t>
        </is>
      </c>
      <c r="C35" s="18" t="inlineStr">
        <is>
          <t>Credentials wallet</t>
        </is>
      </c>
      <c r="D35" s="19" t="inlineStr">
        <is>
          <t>Issue, share, verify credentials</t>
        </is>
      </c>
      <c r="E35" s="20" t="inlineStr">
        <is>
          <t>P2 — High</t>
        </is>
      </c>
      <c r="F35" s="20" t="inlineStr">
        <is>
          <t>Phase 1 — MVP</t>
        </is>
      </c>
      <c r="G35" s="20" t="inlineStr">
        <is>
          <t>In Progress</t>
        </is>
      </c>
      <c r="H35" s="20" t="inlineStr">
        <is>
          <t>Complete</t>
        </is>
      </c>
      <c r="I35" s="20" t="inlineStr">
        <is>
          <t>In Progress</t>
        </is>
      </c>
      <c r="J35" s="21">
        <f>IF(G35="Completed",100,IF(G35="Deferred",0,IF(G35="Cancelled",0,IF(G35="Not Started",0,IF(G35="On Hold",IF(OR(H35="Complete",H35="N/A"),50,25),ROUND((IF(H35="Complete",100,IF(H35="In Progress",50,IF(H35="Blocked",25,0)))+IF(I35="Complete",100,IF(I35="In Progress",50,IF(I35="Blocked",25,IF(I35="N/A",100,0)))))/2,0))))))</f>
        <v/>
      </c>
      <c r="K35" s="21">
        <f>IF(G35="Completed","Green",IF(G35="Deferred","Grey",IF(G35="Cancelled","Grey",IF(G35="On Hold","Red",IF(J35&gt;=80,"Green",IF(J35&gt;=40,"Amber","Red"))))))</f>
        <v/>
      </c>
      <c r="L35" s="20" t="inlineStr">
        <is>
          <t>Full Stack Developer</t>
        </is>
      </c>
      <c r="M35" s="20" t="inlineStr">
        <is>
          <t>Engineering Manager</t>
        </is>
      </c>
      <c r="N35" s="22" t="n">
        <v>46143</v>
      </c>
      <c r="O35" s="22" t="n">
        <v>46203</v>
      </c>
      <c r="P35" s="22" t="n"/>
      <c r="Q35" s="22" t="n">
        <v>46170</v>
      </c>
      <c r="R35" s="20" t="inlineStr">
        <is>
          <t>—</t>
        </is>
      </c>
      <c r="S35" s="19" t="inlineStr">
        <is>
          <t>Public share page works</t>
        </is>
      </c>
    </row>
    <row r="36">
      <c r="A36" s="4" t="inlineStr">
        <is>
          <t>FTR-027</t>
        </is>
      </c>
      <c r="B36" s="4" t="inlineStr">
        <is>
          <t>Contributor</t>
        </is>
      </c>
      <c r="C36" s="12" t="inlineStr">
        <is>
          <t>Support &amp; tickets</t>
        </is>
      </c>
      <c r="D36" s="13" t="inlineStr">
        <is>
          <t>FAQs, grievances, safety reports</t>
        </is>
      </c>
      <c r="E36" s="14" t="inlineStr">
        <is>
          <t>P3 — Medium</t>
        </is>
      </c>
      <c r="F36" s="14" t="inlineStr">
        <is>
          <t>Phase 1 — MVP</t>
        </is>
      </c>
      <c r="G36" s="14" t="inlineStr">
        <is>
          <t>In Progress</t>
        </is>
      </c>
      <c r="H36" s="14" t="inlineStr">
        <is>
          <t>Complete</t>
        </is>
      </c>
      <c r="I36" s="14" t="inlineStr">
        <is>
          <t>In Progress</t>
        </is>
      </c>
      <c r="J36" s="15">
        <f>IF(G36="Completed",100,IF(G36="Deferred",0,IF(G36="Cancelled",0,IF(G36="Not Started",0,IF(G36="On Hold",IF(OR(H36="Complete",H36="N/A"),50,25),ROUND((IF(H36="Complete",100,IF(H36="In Progress",50,IF(H36="Blocked",25,0)))+IF(I36="Complete",100,IF(I36="In Progress",50,IF(I36="Blocked",25,IF(I36="N/A",100,0)))))/2,0))))))</f>
        <v/>
      </c>
      <c r="K36" s="15">
        <f>IF(G36="Completed","Green",IF(G36="Deferred","Grey",IF(G36="Cancelled","Grey",IF(G36="On Hold","Red",IF(J36&gt;=80,"Green",IF(J36&gt;=40,"Amber","Red"))))))</f>
        <v/>
      </c>
      <c r="L36" s="14" t="inlineStr">
        <is>
          <t>Full Stack Developer</t>
        </is>
      </c>
      <c r="M36" s="14" t="inlineStr">
        <is>
          <t>Engineering Manager</t>
        </is>
      </c>
      <c r="N36" s="16" t="n">
        <v>46143</v>
      </c>
      <c r="O36" s="16" t="n">
        <v>46204</v>
      </c>
      <c r="P36" s="16" t="n"/>
      <c r="Q36" s="16" t="n">
        <v>46170</v>
      </c>
      <c r="R36" s="14" t="inlineStr">
        <is>
          <t>—</t>
        </is>
      </c>
      <c r="S36" s="13" t="inlineStr"/>
    </row>
    <row r="37">
      <c r="A37" s="17" t="inlineStr">
        <is>
          <t>FTR-028</t>
        </is>
      </c>
      <c r="B37" s="17" t="inlineStr">
        <is>
          <t>Contributor</t>
        </is>
      </c>
      <c r="C37" s="18" t="inlineStr">
        <is>
          <t>Community &amp; messages</t>
        </is>
      </c>
      <c r="D37" s="19" t="inlineStr">
        <is>
          <t>Community feed and messaging</t>
        </is>
      </c>
      <c r="E37" s="20" t="inlineStr">
        <is>
          <t>P3 — Medium</t>
        </is>
      </c>
      <c r="F37" s="20" t="inlineStr">
        <is>
          <t>Phase 2</t>
        </is>
      </c>
      <c r="G37" s="20" t="inlineStr">
        <is>
          <t>Deferred</t>
        </is>
      </c>
      <c r="H37" s="20" t="inlineStr">
        <is>
          <t>Complete</t>
        </is>
      </c>
      <c r="I37" s="20" t="inlineStr">
        <is>
          <t>Not Started</t>
        </is>
      </c>
      <c r="J37" s="21">
        <f>IF(G37="Completed",100,IF(G37="Deferred",0,IF(G37="Cancelled",0,IF(G37="Not Started",0,IF(G37="On Hold",IF(OR(H37="Complete",H37="N/A"),50,25),ROUND((IF(H37="Complete",100,IF(H37="In Progress",50,IF(H37="Blocked",25,0)))+IF(I37="Complete",100,IF(I37="In Progress",50,IF(I37="Blocked",25,IF(I37="N/A",100,0)))))/2,0))))))</f>
        <v/>
      </c>
      <c r="K37" s="21">
        <f>IF(G37="Completed","Green",IF(G37="Deferred","Grey",IF(G37="Cancelled","Grey",IF(G37="On Hold","Red",IF(J37&gt;=80,"Green",IF(J37&gt;=40,"Amber","Red"))))))</f>
        <v/>
      </c>
      <c r="L37" s="20" t="inlineStr">
        <is>
          <t>Frontend Lead</t>
        </is>
      </c>
      <c r="M37" s="20" t="inlineStr">
        <is>
          <t>Engineering Manager</t>
        </is>
      </c>
      <c r="N37" s="22" t="n">
        <v>46204</v>
      </c>
      <c r="O37" s="22" t="n">
        <v>46235</v>
      </c>
      <c r="P37" s="22" t="n"/>
      <c r="Q37" s="22" t="n">
        <v>46170</v>
      </c>
      <c r="R37" s="20" t="inlineStr">
        <is>
          <t>—</t>
        </is>
      </c>
      <c r="S37" s="19" t="inlineStr">
        <is>
          <t>Visual-only mock</t>
        </is>
      </c>
    </row>
    <row r="38">
      <c r="A38" s="4" t="inlineStr">
        <is>
          <t>FTR-029</t>
        </is>
      </c>
      <c r="B38" s="4" t="inlineStr">
        <is>
          <t>Contributor</t>
        </is>
      </c>
      <c r="C38" s="12" t="inlineStr">
        <is>
          <t>Learning recommendations</t>
        </is>
      </c>
      <c r="D38" s="13" t="inlineStr">
        <is>
          <t>AI skill learning suggestions</t>
        </is>
      </c>
      <c r="E38" s="14" t="inlineStr">
        <is>
          <t>P3 — Medium</t>
        </is>
      </c>
      <c r="F38" s="14" t="inlineStr">
        <is>
          <t>Phase 2</t>
        </is>
      </c>
      <c r="G38" s="14" t="inlineStr">
        <is>
          <t>Deferred</t>
        </is>
      </c>
      <c r="H38" s="14" t="inlineStr">
        <is>
          <t>Complete</t>
        </is>
      </c>
      <c r="I38" s="14" t="inlineStr">
        <is>
          <t>Not Started</t>
        </is>
      </c>
      <c r="J38" s="15">
        <f>IF(G38="Completed",100,IF(G38="Deferred",0,IF(G38="Cancelled",0,IF(G38="Not Started",0,IF(G38="On Hold",IF(OR(H38="Complete",H38="N/A"),50,25),ROUND((IF(H38="Complete",100,IF(H38="In Progress",50,IF(H38="Blocked",25,0)))+IF(I38="Complete",100,IF(I38="In Progress",50,IF(I38="Blocked",25,IF(I38="N/A",100,0)))))/2,0))))))</f>
        <v/>
      </c>
      <c r="K38" s="15">
        <f>IF(G38="Completed","Green",IF(G38="Deferred","Grey",IF(G38="Cancelled","Grey",IF(G38="On Hold","Red",IF(J38&gt;=80,"Green",IF(J38&gt;=40,"Amber","Red"))))))</f>
        <v/>
      </c>
      <c r="L38" s="14" t="inlineStr">
        <is>
          <t>Frontend Lead</t>
        </is>
      </c>
      <c r="M38" s="14" t="inlineStr">
        <is>
          <t>Engineering Manager</t>
        </is>
      </c>
      <c r="N38" s="16" t="n">
        <v>46204</v>
      </c>
      <c r="O38" s="16" t="n">
        <v>46235</v>
      </c>
      <c r="P38" s="16" t="n"/>
      <c r="Q38" s="16" t="n">
        <v>46170</v>
      </c>
      <c r="R38" s="14" t="inlineStr">
        <is>
          <t>FTR-097</t>
        </is>
      </c>
      <c r="S38" s="13" t="inlineStr"/>
    </row>
    <row r="39">
      <c r="A39" s="17" t="inlineStr">
        <is>
          <t>FTR-030</t>
        </is>
      </c>
      <c r="B39" s="17" t="inlineStr">
        <is>
          <t>Contributor</t>
        </is>
      </c>
      <c r="C39" s="18" t="inlineStr">
        <is>
          <t>Account auth settings</t>
        </is>
      </c>
      <c r="D39" s="19" t="inlineStr">
        <is>
          <t>Password / OAuth / SSO mode selection</t>
        </is>
      </c>
      <c r="E39" s="20" t="inlineStr">
        <is>
          <t>P2 — High</t>
        </is>
      </c>
      <c r="F39" s="20" t="inlineStr">
        <is>
          <t>Phase 1 — MVP</t>
        </is>
      </c>
      <c r="G39" s="20" t="inlineStr">
        <is>
          <t>In Progress</t>
        </is>
      </c>
      <c r="H39" s="20" t="inlineStr">
        <is>
          <t>Complete</t>
        </is>
      </c>
      <c r="I39" s="20" t="inlineStr">
        <is>
          <t>In Progress</t>
        </is>
      </c>
      <c r="J39" s="21">
        <f>IF(G39="Completed",100,IF(G39="Deferred",0,IF(G39="Cancelled",0,IF(G39="Not Started",0,IF(G39="On Hold",IF(OR(H39="Complete",H39="N/A"),50,25),ROUND((IF(H39="Complete",100,IF(H39="In Progress",50,IF(H39="Blocked",25,0)))+IF(I39="Complete",100,IF(I39="In Progress",50,IF(I39="Blocked",25,IF(I39="N/A",100,0)))))/2,0))))))</f>
        <v/>
      </c>
      <c r="K39" s="21">
        <f>IF(G39="Completed","Green",IF(G39="Deferred","Grey",IF(G39="Cancelled","Grey",IF(G39="On Hold","Red",IF(J39&gt;=80,"Green",IF(J39&gt;=40,"Amber","Red"))))))</f>
        <v/>
      </c>
      <c r="L39" s="20" t="inlineStr">
        <is>
          <t>Full Stack Developer</t>
        </is>
      </c>
      <c r="M39" s="20" t="inlineStr">
        <is>
          <t>Engineering Manager</t>
        </is>
      </c>
      <c r="N39" s="22" t="n">
        <v>46143</v>
      </c>
      <c r="O39" s="22" t="n">
        <v>46170</v>
      </c>
      <c r="P39" s="22" t="n"/>
      <c r="Q39" s="22" t="n">
        <v>46170</v>
      </c>
      <c r="R39" s="20" t="inlineStr">
        <is>
          <t>FTR-003</t>
        </is>
      </c>
      <c r="S39" s="19" t="inlineStr">
        <is>
          <t>Recently shipped</t>
        </is>
      </c>
    </row>
    <row r="40">
      <c r="A40" s="4" t="inlineStr">
        <is>
          <t>FTR-040</t>
        </is>
      </c>
      <c r="B40" s="4" t="inlineStr">
        <is>
          <t>Enterprise</t>
        </is>
      </c>
      <c r="C40" s="12" t="inlineStr">
        <is>
          <t>Dashboard</t>
        </is>
      </c>
      <c r="D40" s="13" t="inlineStr">
        <is>
          <t>Executive dashboard with KPIs and plan usage</t>
        </is>
      </c>
      <c r="E40" s="14" t="inlineStr">
        <is>
          <t>P1 — Critical</t>
        </is>
      </c>
      <c r="F40" s="14" t="inlineStr">
        <is>
          <t>Phase 1 — MVP</t>
        </is>
      </c>
      <c r="G40" s="14" t="inlineStr">
        <is>
          <t>In Progress</t>
        </is>
      </c>
      <c r="H40" s="14" t="inlineStr">
        <is>
          <t>Complete</t>
        </is>
      </c>
      <c r="I40" s="14" t="inlineStr">
        <is>
          <t>In Progress</t>
        </is>
      </c>
      <c r="J40" s="15">
        <f>IF(G40="Completed",100,IF(G40="Deferred",0,IF(G40="Cancelled",0,IF(G40="Not Started",0,IF(G40="On Hold",IF(OR(H40="Complete",H40="N/A"),50,25),ROUND((IF(H40="Complete",100,IF(H40="In Progress",50,IF(H40="Blocked",25,0)))+IF(I40="Complete",100,IF(I40="In Progress",50,IF(I40="Blocked",25,IF(I40="N/A",100,0)))))/2,0))))))</f>
        <v/>
      </c>
      <c r="K40" s="15">
        <f>IF(G40="Completed","Green",IF(G40="Deferred","Grey",IF(G40="Cancelled","Grey",IF(G40="On Hold","Red",IF(J40&gt;=80,"Green",IF(J40&gt;=40,"Amber","Red"))))))</f>
        <v/>
      </c>
      <c r="L40" s="14" t="inlineStr">
        <is>
          <t>Frontend Lead</t>
        </is>
      </c>
      <c r="M40" s="14" t="inlineStr">
        <is>
          <t>Engineering Manager</t>
        </is>
      </c>
      <c r="N40" s="16" t="n">
        <v>46113</v>
      </c>
      <c r="O40" s="16" t="n">
        <v>46143</v>
      </c>
      <c r="P40" s="16" t="n"/>
      <c r="Q40" s="16" t="n">
        <v>46170</v>
      </c>
      <c r="R40" s="14" t="inlineStr">
        <is>
          <t>FTR-016</t>
        </is>
      </c>
      <c r="S40" s="13" t="inlineStr"/>
    </row>
    <row r="41">
      <c r="A41" s="17" t="inlineStr">
        <is>
          <t>FTR-041</t>
        </is>
      </c>
      <c r="B41" s="17" t="inlineStr">
        <is>
          <t>Enterprise</t>
        </is>
      </c>
      <c r="C41" s="18" t="inlineStr">
        <is>
          <t>SOW repository</t>
        </is>
      </c>
      <c r="D41" s="19" t="inlineStr">
        <is>
          <t>SOW list and detail views</t>
        </is>
      </c>
      <c r="E41" s="20" t="inlineStr">
        <is>
          <t>P1 — Critical</t>
        </is>
      </c>
      <c r="F41" s="20" t="inlineStr">
        <is>
          <t>Phase 1 — MVP</t>
        </is>
      </c>
      <c r="G41" s="20" t="inlineStr">
        <is>
          <t>In Progress</t>
        </is>
      </c>
      <c r="H41" s="20" t="inlineStr">
        <is>
          <t>Complete</t>
        </is>
      </c>
      <c r="I41" s="20" t="inlineStr">
        <is>
          <t>In Progress</t>
        </is>
      </c>
      <c r="J41" s="21">
        <f>IF(G41="Completed",100,IF(G41="Deferred",0,IF(G41="Cancelled",0,IF(G41="Not Started",0,IF(G41="On Hold",IF(OR(H41="Complete",H41="N/A"),50,25),ROUND((IF(H41="Complete",100,IF(H41="In Progress",50,IF(H41="Blocked",25,0)))+IF(I41="Complete",100,IF(I41="In Progress",50,IF(I41="Blocked",25,IF(I41="N/A",100,0)))))/2,0))))))</f>
        <v/>
      </c>
      <c r="K41" s="21">
        <f>IF(G41="Completed","Green",IF(G41="Deferred","Grey",IF(G41="Cancelled","Grey",IF(G41="On Hold","Red",IF(J41&gt;=80,"Green",IF(J41&gt;=40,"Amber","Red"))))))</f>
        <v/>
      </c>
      <c r="L41" s="20" t="inlineStr">
        <is>
          <t>Full Stack Developer</t>
        </is>
      </c>
      <c r="M41" s="20" t="inlineStr">
        <is>
          <t>Engineering Manager</t>
        </is>
      </c>
      <c r="N41" s="22" t="n">
        <v>46113</v>
      </c>
      <c r="O41" s="22" t="n">
        <v>46188</v>
      </c>
      <c r="P41" s="22" t="n"/>
      <c r="Q41" s="22" t="n">
        <v>46170</v>
      </c>
      <c r="R41" s="20" t="inlineStr">
        <is>
          <t>FTR-091</t>
        </is>
      </c>
      <c r="S41" s="19" t="inlineStr">
        <is>
          <t>API + mocks hybrid</t>
        </is>
      </c>
    </row>
    <row r="42">
      <c r="A42" s="4" t="inlineStr">
        <is>
          <t>FTR-042</t>
        </is>
      </c>
      <c r="B42" s="4" t="inlineStr">
        <is>
          <t>Enterprise</t>
        </is>
      </c>
      <c r="C42" s="12" t="inlineStr">
        <is>
          <t>SOW intake (upload + AI)</t>
        </is>
      </c>
      <c r="D42" s="13" t="inlineStr">
        <is>
          <t>5-stage intake wizard with AI extraction</t>
        </is>
      </c>
      <c r="E42" s="14" t="inlineStr">
        <is>
          <t>P1 — Critical</t>
        </is>
      </c>
      <c r="F42" s="14" t="inlineStr">
        <is>
          <t>Phase 1 — MVP</t>
        </is>
      </c>
      <c r="G42" s="14" t="inlineStr">
        <is>
          <t>In Progress</t>
        </is>
      </c>
      <c r="H42" s="14" t="inlineStr">
        <is>
          <t>Complete</t>
        </is>
      </c>
      <c r="I42" s="14" t="inlineStr">
        <is>
          <t>In Progress</t>
        </is>
      </c>
      <c r="J42" s="15">
        <f>IF(G42="Completed",100,IF(G42="Deferred",0,IF(G42="Cancelled",0,IF(G42="Not Started",0,IF(G42="On Hold",IF(OR(H42="Complete",H42="N/A"),50,25),ROUND((IF(H42="Complete",100,IF(H42="In Progress",50,IF(H42="Blocked",25,0)))+IF(I42="Complete",100,IF(I42="In Progress",50,IF(I42="Blocked",25,IF(I42="N/A",100,0)))))/2,0))))))</f>
        <v/>
      </c>
      <c r="K42" s="15">
        <f>IF(G42="Completed","Green",IF(G42="Deferred","Grey",IF(G42="Cancelled","Grey",IF(G42="On Hold","Red",IF(J42&gt;=80,"Green",IF(J42&gt;=40,"Amber","Red"))))))</f>
        <v/>
      </c>
      <c r="L42" s="14" t="inlineStr">
        <is>
          <t>Full Stack Developer</t>
        </is>
      </c>
      <c r="M42" s="14" t="inlineStr">
        <is>
          <t>Engineering Manager</t>
        </is>
      </c>
      <c r="N42" s="16" t="n">
        <v>46127</v>
      </c>
      <c r="O42" s="16" t="n">
        <v>46203</v>
      </c>
      <c r="P42" s="16" t="n"/>
      <c r="Q42" s="16" t="n">
        <v>46170</v>
      </c>
      <c r="R42" s="14" t="inlineStr">
        <is>
          <t>FTR-097</t>
        </is>
      </c>
      <c r="S42" s="13" t="inlineStr">
        <is>
          <t>Commit local-state</t>
        </is>
      </c>
    </row>
    <row r="43">
      <c r="A43" s="17" t="inlineStr">
        <is>
          <t>FTR-043</t>
        </is>
      </c>
      <c r="B43" s="17" t="inlineStr">
        <is>
          <t>Enterprise</t>
        </is>
      </c>
      <c r="C43" s="18" t="inlineStr">
        <is>
          <t>SOW approval pipeline</t>
        </is>
      </c>
      <c r="D43" s="19" t="inlineStr">
        <is>
          <t>5-stage commercial / legal sign-off</t>
        </is>
      </c>
      <c r="E43" s="20" t="inlineStr">
        <is>
          <t>P1 — Critical</t>
        </is>
      </c>
      <c r="F43" s="20" t="inlineStr">
        <is>
          <t>Phase 1 — MVP</t>
        </is>
      </c>
      <c r="G43" s="20" t="inlineStr">
        <is>
          <t>In Progress</t>
        </is>
      </c>
      <c r="H43" s="20" t="inlineStr">
        <is>
          <t>Complete</t>
        </is>
      </c>
      <c r="I43" s="20" t="inlineStr">
        <is>
          <t>In Progress</t>
        </is>
      </c>
      <c r="J43" s="21">
        <f>IF(G43="Completed",100,IF(G43="Deferred",0,IF(G43="Cancelled",0,IF(G43="Not Started",0,IF(G43="On Hold",IF(OR(H43="Complete",H43="N/A"),50,25),ROUND((IF(H43="Complete",100,IF(H43="In Progress",50,IF(H43="Blocked",25,0)))+IF(I43="Complete",100,IF(I43="In Progress",50,IF(I43="Blocked",25,IF(I43="N/A",100,0)))))/2,0))))))</f>
        <v/>
      </c>
      <c r="K43" s="21">
        <f>IF(G43="Completed","Green",IF(G43="Deferred","Grey",IF(G43="Cancelled","Grey",IF(G43="On Hold","Red",IF(J43&gt;=80,"Green",IF(J43&gt;=40,"Amber","Red"))))))</f>
        <v/>
      </c>
      <c r="L43" s="20" t="inlineStr">
        <is>
          <t>Full Stack Developer</t>
        </is>
      </c>
      <c r="M43" s="20" t="inlineStr">
        <is>
          <t>Engineering Manager</t>
        </is>
      </c>
      <c r="N43" s="22" t="n">
        <v>46127</v>
      </c>
      <c r="O43" s="22" t="n">
        <v>46203</v>
      </c>
      <c r="P43" s="22" t="n"/>
      <c r="Q43" s="22" t="n">
        <v>46170</v>
      </c>
      <c r="R43" s="20" t="inlineStr">
        <is>
          <t>FTR-041</t>
        </is>
      </c>
      <c r="S43" s="19" t="inlineStr"/>
    </row>
    <row r="44">
      <c r="A44" s="4" t="inlineStr">
        <is>
          <t>FTR-044</t>
        </is>
      </c>
      <c r="B44" s="4" t="inlineStr">
        <is>
          <t>Enterprise</t>
        </is>
      </c>
      <c r="C44" s="12" t="inlineStr">
        <is>
          <t>Decomposition workspace</t>
        </is>
      </c>
      <c r="D44" s="13" t="inlineStr">
        <is>
          <t>Break SOW into workstreams and tasks</t>
        </is>
      </c>
      <c r="E44" s="14" t="inlineStr">
        <is>
          <t>P1 — Critical</t>
        </is>
      </c>
      <c r="F44" s="14" t="inlineStr">
        <is>
          <t>Phase 1 — MVP</t>
        </is>
      </c>
      <c r="G44" s="14" t="inlineStr">
        <is>
          <t>In Progress</t>
        </is>
      </c>
      <c r="H44" s="14" t="inlineStr">
        <is>
          <t>Complete</t>
        </is>
      </c>
      <c r="I44" s="14" t="inlineStr">
        <is>
          <t>Not Started</t>
        </is>
      </c>
      <c r="J44" s="15">
        <f>IF(G44="Completed",100,IF(G44="Deferred",0,IF(G44="Cancelled",0,IF(G44="Not Started",0,IF(G44="On Hold",IF(OR(H44="Complete",H44="N/A"),50,25),ROUND((IF(H44="Complete",100,IF(H44="In Progress",50,IF(H44="Blocked",25,0)))+IF(I44="Complete",100,IF(I44="In Progress",50,IF(I44="Blocked",25,IF(I44="N/A",100,0)))))/2,0))))))</f>
        <v/>
      </c>
      <c r="K44" s="15">
        <f>IF(G44="Completed","Green",IF(G44="Deferred","Grey",IF(G44="Cancelled","Grey",IF(G44="On Hold","Red",IF(J44&gt;=80,"Green",IF(J44&gt;=40,"Amber","Red"))))))</f>
        <v/>
      </c>
      <c r="L44" s="14" t="inlineStr">
        <is>
          <t>Full Stack Developer</t>
        </is>
      </c>
      <c r="M44" s="14" t="inlineStr">
        <is>
          <t>Engineering Manager</t>
        </is>
      </c>
      <c r="N44" s="16" t="n">
        <v>46143</v>
      </c>
      <c r="O44" s="16" t="n">
        <v>46204</v>
      </c>
      <c r="P44" s="16" t="n"/>
      <c r="Q44" s="16" t="n">
        <v>46170</v>
      </c>
      <c r="R44" s="14" t="inlineStr">
        <is>
          <t>FTR-091</t>
        </is>
      </c>
      <c r="S44" s="13" t="inlineStr">
        <is>
          <t>Mock plans</t>
        </is>
      </c>
    </row>
    <row r="45">
      <c r="A45" s="17" t="inlineStr">
        <is>
          <t>FTR-045</t>
        </is>
      </c>
      <c r="B45" s="17" t="inlineStr">
        <is>
          <t>Enterprise</t>
        </is>
      </c>
      <c r="C45" s="18" t="inlineStr">
        <is>
          <t>Team matching &amp; formation</t>
        </is>
      </c>
      <c r="D45" s="19" t="inlineStr">
        <is>
          <t>Suggest and assign contributors</t>
        </is>
      </c>
      <c r="E45" s="20" t="inlineStr">
        <is>
          <t>P2 — High</t>
        </is>
      </c>
      <c r="F45" s="20" t="inlineStr">
        <is>
          <t>Phase 1 — MVP</t>
        </is>
      </c>
      <c r="G45" s="20" t="inlineStr">
        <is>
          <t>In Progress</t>
        </is>
      </c>
      <c r="H45" s="20" t="inlineStr">
        <is>
          <t>Complete</t>
        </is>
      </c>
      <c r="I45" s="20" t="inlineStr">
        <is>
          <t>Not Started</t>
        </is>
      </c>
      <c r="J45" s="21">
        <f>IF(G45="Completed",100,IF(G45="Deferred",0,IF(G45="Cancelled",0,IF(G45="Not Started",0,IF(G45="On Hold",IF(OR(H45="Complete",H45="N/A"),50,25),ROUND((IF(H45="Complete",100,IF(H45="In Progress",50,IF(H45="Blocked",25,0)))+IF(I45="Complete",100,IF(I45="In Progress",50,IF(I45="Blocked",25,IF(I45="N/A",100,0)))))/2,0))))))</f>
        <v/>
      </c>
      <c r="K45" s="21">
        <f>IF(G45="Completed","Green",IF(G45="Deferred","Grey",IF(G45="Cancelled","Grey",IF(G45="On Hold","Red",IF(J45&gt;=80,"Green",IF(J45&gt;=40,"Amber","Red"))))))</f>
        <v/>
      </c>
      <c r="L45" s="20" t="inlineStr">
        <is>
          <t>Frontend Lead</t>
        </is>
      </c>
      <c r="M45" s="20" t="inlineStr">
        <is>
          <t>Engineering Manager</t>
        </is>
      </c>
      <c r="N45" s="22" t="n">
        <v>46157</v>
      </c>
      <c r="O45" s="22" t="n">
        <v>46218</v>
      </c>
      <c r="P45" s="22" t="n"/>
      <c r="Q45" s="22" t="n">
        <v>46170</v>
      </c>
      <c r="R45" s="20" t="inlineStr">
        <is>
          <t>FTR-044</t>
        </is>
      </c>
      <c r="S45" s="19" t="inlineStr"/>
    </row>
    <row r="46">
      <c r="A46" s="4" t="inlineStr">
        <is>
          <t>FTR-046</t>
        </is>
      </c>
      <c r="B46" s="4" t="inlineStr">
        <is>
          <t>Enterprise</t>
        </is>
      </c>
      <c r="C46" s="12" t="inlineStr">
        <is>
          <t>Projects portfolio</t>
        </is>
      </c>
      <c r="D46" s="13" t="inlineStr">
        <is>
          <t>Active and completed project tiles</t>
        </is>
      </c>
      <c r="E46" s="14" t="inlineStr">
        <is>
          <t>P1 — Critical</t>
        </is>
      </c>
      <c r="F46" s="14" t="inlineStr">
        <is>
          <t>Phase 1 — MVP</t>
        </is>
      </c>
      <c r="G46" s="14" t="inlineStr">
        <is>
          <t>In Progress</t>
        </is>
      </c>
      <c r="H46" s="14" t="inlineStr">
        <is>
          <t>Complete</t>
        </is>
      </c>
      <c r="I46" s="14" t="inlineStr">
        <is>
          <t>Not Started</t>
        </is>
      </c>
      <c r="J46" s="15">
        <f>IF(G46="Completed",100,IF(G46="Deferred",0,IF(G46="Cancelled",0,IF(G46="Not Started",0,IF(G46="On Hold",IF(OR(H46="Complete",H46="N/A"),50,25),ROUND((IF(H46="Complete",100,IF(H46="In Progress",50,IF(H46="Blocked",25,0)))+IF(I46="Complete",100,IF(I46="In Progress",50,IF(I46="Blocked",25,IF(I46="N/A",100,0)))))/2,0))))))</f>
        <v/>
      </c>
      <c r="K46" s="15">
        <f>IF(G46="Completed","Green",IF(G46="Deferred","Grey",IF(G46="Cancelled","Grey",IF(G46="On Hold","Red",IF(J46&gt;=80,"Green",IF(J46&gt;=40,"Amber","Red"))))))</f>
        <v/>
      </c>
      <c r="L46" s="14" t="inlineStr">
        <is>
          <t>Full Stack Developer</t>
        </is>
      </c>
      <c r="M46" s="14" t="inlineStr">
        <is>
          <t>Engineering Manager</t>
        </is>
      </c>
      <c r="N46" s="16" t="n">
        <v>46143</v>
      </c>
      <c r="O46" s="16" t="n">
        <v>46204</v>
      </c>
      <c r="P46" s="16" t="n"/>
      <c r="Q46" s="16" t="n">
        <v>46170</v>
      </c>
      <c r="R46" s="14" t="inlineStr">
        <is>
          <t>FTR-091</t>
        </is>
      </c>
      <c r="S46" s="13" t="inlineStr"/>
    </row>
    <row r="47">
      <c r="A47" s="17" t="inlineStr">
        <is>
          <t>FTR-047</t>
        </is>
      </c>
      <c r="B47" s="17" t="inlineStr">
        <is>
          <t>Enterprise</t>
        </is>
      </c>
      <c r="C47" s="18" t="inlineStr">
        <is>
          <t>Delivery tracking</t>
        </is>
      </c>
      <c r="D47" s="19" t="inlineStr">
        <is>
          <t>Milestones, exceptions, lifecycle view</t>
        </is>
      </c>
      <c r="E47" s="20" t="inlineStr">
        <is>
          <t>P1 — Critical</t>
        </is>
      </c>
      <c r="F47" s="20" t="inlineStr">
        <is>
          <t>Phase 1 — MVP</t>
        </is>
      </c>
      <c r="G47" s="20" t="inlineStr">
        <is>
          <t>In Progress</t>
        </is>
      </c>
      <c r="H47" s="20" t="inlineStr">
        <is>
          <t>Complete</t>
        </is>
      </c>
      <c r="I47" s="20" t="inlineStr">
        <is>
          <t>Not Started</t>
        </is>
      </c>
      <c r="J47" s="21">
        <f>IF(G47="Completed",100,IF(G47="Deferred",0,IF(G47="Cancelled",0,IF(G47="Not Started",0,IF(G47="On Hold",IF(OR(H47="Complete",H47="N/A"),50,25),ROUND((IF(H47="Complete",100,IF(H47="In Progress",50,IF(H47="Blocked",25,0)))+IF(I47="Complete",100,IF(I47="In Progress",50,IF(I47="Blocked",25,IF(I47="N/A",100,0)))))/2,0))))))</f>
        <v/>
      </c>
      <c r="K47" s="21">
        <f>IF(G47="Completed","Green",IF(G47="Deferred","Grey",IF(G47="Cancelled","Grey",IF(G47="On Hold","Red",IF(J47&gt;=80,"Green",IF(J47&gt;=40,"Amber","Red"))))))</f>
        <v/>
      </c>
      <c r="L47" s="20" t="inlineStr">
        <is>
          <t>Full Stack Developer</t>
        </is>
      </c>
      <c r="M47" s="20" t="inlineStr">
        <is>
          <t>Engineering Manager</t>
        </is>
      </c>
      <c r="N47" s="22" t="n">
        <v>46143</v>
      </c>
      <c r="O47" s="22" t="n">
        <v>46204</v>
      </c>
      <c r="P47" s="22" t="n"/>
      <c r="Q47" s="22" t="n">
        <v>46170</v>
      </c>
      <c r="R47" s="20" t="inlineStr">
        <is>
          <t>FTR-021</t>
        </is>
      </c>
      <c r="S47" s="19" t="inlineStr"/>
    </row>
    <row r="48">
      <c r="A48" s="4" t="inlineStr">
        <is>
          <t>FTR-048</t>
        </is>
      </c>
      <c r="B48" s="4" t="inlineStr">
        <is>
          <t>Enterprise</t>
        </is>
      </c>
      <c r="C48" s="12" t="inlineStr">
        <is>
          <t>Review &amp; acceptance queue</t>
        </is>
      </c>
      <c r="D48" s="13" t="inlineStr">
        <is>
          <t>Accept / rework deliverables</t>
        </is>
      </c>
      <c r="E48" s="14" t="inlineStr">
        <is>
          <t>P1 — Critical</t>
        </is>
      </c>
      <c r="F48" s="14" t="inlineStr">
        <is>
          <t>Phase 1 — MVP</t>
        </is>
      </c>
      <c r="G48" s="14" t="inlineStr">
        <is>
          <t>In Progress</t>
        </is>
      </c>
      <c r="H48" s="14" t="inlineStr">
        <is>
          <t>Complete</t>
        </is>
      </c>
      <c r="I48" s="14" t="inlineStr">
        <is>
          <t>In Progress</t>
        </is>
      </c>
      <c r="J48" s="15">
        <f>IF(G48="Completed",100,IF(G48="Deferred",0,IF(G48="Cancelled",0,IF(G48="Not Started",0,IF(G48="On Hold",IF(OR(H48="Complete",H48="N/A"),50,25),ROUND((IF(H48="Complete",100,IF(H48="In Progress",50,IF(H48="Blocked",25,0)))+IF(I48="Complete",100,IF(I48="In Progress",50,IF(I48="Blocked",25,IF(I48="N/A",100,0)))))/2,0))))))</f>
        <v/>
      </c>
      <c r="K48" s="15">
        <f>IF(G48="Completed","Green",IF(G48="Deferred","Grey",IF(G48="Cancelled","Grey",IF(G48="On Hold","Red",IF(J48&gt;=80,"Green",IF(J48&gt;=40,"Amber","Red"))))))</f>
        <v/>
      </c>
      <c r="L48" s="14" t="inlineStr">
        <is>
          <t>Full Stack Developer</t>
        </is>
      </c>
      <c r="M48" s="14" t="inlineStr">
        <is>
          <t>Engineering Manager</t>
        </is>
      </c>
      <c r="N48" s="16" t="n">
        <v>46127</v>
      </c>
      <c r="O48" s="16" t="n">
        <v>46174</v>
      </c>
      <c r="P48" s="16" t="n"/>
      <c r="Q48" s="16" t="n">
        <v>46170</v>
      </c>
      <c r="R48" s="14" t="inlineStr">
        <is>
          <t>FTR-015</t>
        </is>
      </c>
      <c r="S48" s="13" t="inlineStr">
        <is>
          <t>Postgres audit log</t>
        </is>
      </c>
    </row>
    <row r="49">
      <c r="A49" s="17" t="inlineStr">
        <is>
          <t>FTR-049</t>
        </is>
      </c>
      <c r="B49" s="17" t="inlineStr">
        <is>
          <t>Enterprise</t>
        </is>
      </c>
      <c r="C49" s="18" t="inlineStr">
        <is>
          <t>Reviewer sub-portal</t>
        </is>
      </c>
      <c r="D49" s="19" t="inlineStr">
        <is>
          <t>QA inbox, task monitor, metrics</t>
        </is>
      </c>
      <c r="E49" s="20" t="inlineStr">
        <is>
          <t>P2 — High</t>
        </is>
      </c>
      <c r="F49" s="20" t="inlineStr">
        <is>
          <t>Phase 1 — MVP</t>
        </is>
      </c>
      <c r="G49" s="20" t="inlineStr">
        <is>
          <t>In Progress</t>
        </is>
      </c>
      <c r="H49" s="20" t="inlineStr">
        <is>
          <t>Complete</t>
        </is>
      </c>
      <c r="I49" s="20" t="inlineStr">
        <is>
          <t>Not Started</t>
        </is>
      </c>
      <c r="J49" s="21">
        <f>IF(G49="Completed",100,IF(G49="Deferred",0,IF(G49="Cancelled",0,IF(G49="Not Started",0,IF(G49="On Hold",IF(OR(H49="Complete",H49="N/A"),50,25),ROUND((IF(H49="Complete",100,IF(H49="In Progress",50,IF(H49="Blocked",25,0)))+IF(I49="Complete",100,IF(I49="In Progress",50,IF(I49="Blocked",25,IF(I49="N/A",100,0)))))/2,0))))))</f>
        <v/>
      </c>
      <c r="K49" s="21">
        <f>IF(G49="Completed","Green",IF(G49="Deferred","Grey",IF(G49="Cancelled","Grey",IF(G49="On Hold","Red",IF(J49&gt;=80,"Green",IF(J49&gt;=40,"Amber","Red"))))))</f>
        <v/>
      </c>
      <c r="L49" s="20" t="inlineStr">
        <is>
          <t>Frontend Lead</t>
        </is>
      </c>
      <c r="M49" s="20" t="inlineStr">
        <is>
          <t>Engineering Manager</t>
        </is>
      </c>
      <c r="N49" s="22" t="n">
        <v>46143</v>
      </c>
      <c r="O49" s="22" t="n">
        <v>46204</v>
      </c>
      <c r="P49" s="22" t="n"/>
      <c r="Q49" s="22" t="n">
        <v>46170</v>
      </c>
      <c r="R49" s="20" t="inlineStr">
        <is>
          <t>—</t>
        </is>
      </c>
      <c r="S49" s="19" t="inlineStr"/>
    </row>
    <row r="50">
      <c r="A50" s="4" t="inlineStr">
        <is>
          <t>FTR-050</t>
        </is>
      </c>
      <c r="B50" s="4" t="inlineStr">
        <is>
          <t>Enterprise</t>
        </is>
      </c>
      <c r="C50" s="12" t="inlineStr">
        <is>
          <t>Billing overview</t>
        </is>
      </c>
      <c r="D50" s="13" t="inlineStr">
        <is>
          <t>Budget, invoices, rate cards UI</t>
        </is>
      </c>
      <c r="E50" s="14" t="inlineStr">
        <is>
          <t>P2 — High</t>
        </is>
      </c>
      <c r="F50" s="14" t="inlineStr">
        <is>
          <t>Phase 1 — MVP</t>
        </is>
      </c>
      <c r="G50" s="14" t="inlineStr">
        <is>
          <t>In Progress</t>
        </is>
      </c>
      <c r="H50" s="14" t="inlineStr">
        <is>
          <t>Complete</t>
        </is>
      </c>
      <c r="I50" s="14" t="inlineStr">
        <is>
          <t>Not Started</t>
        </is>
      </c>
      <c r="J50" s="15">
        <f>IF(G50="Completed",100,IF(G50="Deferred",0,IF(G50="Cancelled",0,IF(G50="Not Started",0,IF(G50="On Hold",IF(OR(H50="Complete",H50="N/A"),50,25),ROUND((IF(H50="Complete",100,IF(H50="In Progress",50,IF(H50="Blocked",25,0)))+IF(I50="Complete",100,IF(I50="In Progress",50,IF(I50="Blocked",25,IF(I50="N/A",100,0)))))/2,0))))))</f>
        <v/>
      </c>
      <c r="K50" s="15">
        <f>IF(G50="Completed","Green",IF(G50="Deferred","Grey",IF(G50="Cancelled","Grey",IF(G50="On Hold","Red",IF(J50&gt;=80,"Green",IF(J50&gt;=40,"Amber","Red"))))))</f>
        <v/>
      </c>
      <c r="L50" s="14" t="inlineStr">
        <is>
          <t>Full Stack Developer</t>
        </is>
      </c>
      <c r="M50" s="14" t="inlineStr">
        <is>
          <t>Engineering Manager</t>
        </is>
      </c>
      <c r="N50" s="16" t="n">
        <v>46143</v>
      </c>
      <c r="O50" s="16" t="n">
        <v>46218</v>
      </c>
      <c r="P50" s="16" t="n"/>
      <c r="Q50" s="16" t="n">
        <v>46170</v>
      </c>
      <c r="R50" s="14" t="inlineStr">
        <is>
          <t>FTR-012</t>
        </is>
      </c>
      <c r="S50" s="13" t="inlineStr"/>
    </row>
    <row r="51">
      <c r="A51" s="17" t="inlineStr">
        <is>
          <t>FTR-051</t>
        </is>
      </c>
      <c r="B51" s="17" t="inlineStr">
        <is>
          <t>Enterprise</t>
        </is>
      </c>
      <c r="C51" s="18" t="inlineStr">
        <is>
          <t>Workforce roster</t>
        </is>
      </c>
      <c r="D51" s="19" t="inlineStr">
        <is>
          <t>Internal employee list and profile drawer</t>
        </is>
      </c>
      <c r="E51" s="20" t="inlineStr">
        <is>
          <t>P2 — High</t>
        </is>
      </c>
      <c r="F51" s="20" t="inlineStr">
        <is>
          <t>Phase 1 — MVP</t>
        </is>
      </c>
      <c r="G51" s="20" t="inlineStr">
        <is>
          <t>In Progress</t>
        </is>
      </c>
      <c r="H51" s="20" t="inlineStr">
        <is>
          <t>Complete</t>
        </is>
      </c>
      <c r="I51" s="20" t="inlineStr">
        <is>
          <t>Not Started</t>
        </is>
      </c>
      <c r="J51" s="21">
        <f>IF(G51="Completed",100,IF(G51="Deferred",0,IF(G51="Cancelled",0,IF(G51="Not Started",0,IF(G51="On Hold",IF(OR(H51="Complete",H51="N/A"),50,25),ROUND((IF(H51="Complete",100,IF(H51="In Progress",50,IF(H51="Blocked",25,0)))+IF(I51="Complete",100,IF(I51="In Progress",50,IF(I51="Blocked",25,IF(I51="N/A",100,0)))))/2,0))))))</f>
        <v/>
      </c>
      <c r="K51" s="21">
        <f>IF(G51="Completed","Green",IF(G51="Deferred","Grey",IF(G51="Cancelled","Grey",IF(G51="On Hold","Red",IF(J51&gt;=80,"Green",IF(J51&gt;=40,"Amber","Red"))))))</f>
        <v/>
      </c>
      <c r="L51" s="20" t="inlineStr">
        <is>
          <t>Full Stack Developer</t>
        </is>
      </c>
      <c r="M51" s="20" t="inlineStr">
        <is>
          <t>Engineering Manager</t>
        </is>
      </c>
      <c r="N51" s="22" t="n">
        <v>46157</v>
      </c>
      <c r="O51" s="22" t="n">
        <v>46170</v>
      </c>
      <c r="P51" s="22" t="n"/>
      <c r="Q51" s="22" t="n">
        <v>46170</v>
      </c>
      <c r="R51" s="20" t="inlineStr">
        <is>
          <t>FTR-094</t>
        </is>
      </c>
      <c r="S51" s="19" t="inlineStr">
        <is>
          <t>Mock localStorage</t>
        </is>
      </c>
    </row>
    <row r="52">
      <c r="A52" s="4" t="inlineStr">
        <is>
          <t>FTR-052</t>
        </is>
      </c>
      <c r="B52" s="4" t="inlineStr">
        <is>
          <t>Enterprise</t>
        </is>
      </c>
      <c r="C52" s="12" t="inlineStr">
        <is>
          <t>Workforce CSV import</t>
        </is>
      </c>
      <c r="D52" s="13" t="inlineStr">
        <is>
          <t>Upload, preview, apply roster</t>
        </is>
      </c>
      <c r="E52" s="14" t="inlineStr">
        <is>
          <t>P2 — High</t>
        </is>
      </c>
      <c r="F52" s="14" t="inlineStr">
        <is>
          <t>Phase 1 — MVP</t>
        </is>
      </c>
      <c r="G52" s="14" t="inlineStr">
        <is>
          <t>In Progress</t>
        </is>
      </c>
      <c r="H52" s="14" t="inlineStr">
        <is>
          <t>Complete</t>
        </is>
      </c>
      <c r="I52" s="14" t="inlineStr">
        <is>
          <t>Not Started</t>
        </is>
      </c>
      <c r="J52" s="15">
        <f>IF(G52="Completed",100,IF(G52="Deferred",0,IF(G52="Cancelled",0,IF(G52="Not Started",0,IF(G52="On Hold",IF(OR(H52="Complete",H52="N/A"),50,25),ROUND((IF(H52="Complete",100,IF(H52="In Progress",50,IF(H52="Blocked",25,0)))+IF(I52="Complete",100,IF(I52="In Progress",50,IF(I52="Blocked",25,IF(I52="N/A",100,0)))))/2,0))))))</f>
        <v/>
      </c>
      <c r="K52" s="15">
        <f>IF(G52="Completed","Green",IF(G52="Deferred","Grey",IF(G52="Cancelled","Grey",IF(G52="On Hold","Red",IF(J52&gt;=80,"Green",IF(J52&gt;=40,"Amber","Red"))))))</f>
        <v/>
      </c>
      <c r="L52" s="14" t="inlineStr">
        <is>
          <t>Full Stack Developer</t>
        </is>
      </c>
      <c r="M52" s="14" t="inlineStr">
        <is>
          <t>Engineering Manager</t>
        </is>
      </c>
      <c r="N52" s="16" t="n">
        <v>46157</v>
      </c>
      <c r="O52" s="16" t="n">
        <v>46203</v>
      </c>
      <c r="P52" s="16" t="n"/>
      <c r="Q52" s="16" t="n">
        <v>46170</v>
      </c>
      <c r="R52" s="14" t="inlineStr">
        <is>
          <t>FTR-094</t>
        </is>
      </c>
      <c r="S52" s="13" t="inlineStr"/>
    </row>
    <row r="53">
      <c r="A53" s="17" t="inlineStr">
        <is>
          <t>FTR-053</t>
        </is>
      </c>
      <c r="B53" s="17" t="inlineStr">
        <is>
          <t>Enterprise</t>
        </is>
      </c>
      <c r="C53" s="18" t="inlineStr">
        <is>
          <t>Manual add employee</t>
        </is>
      </c>
      <c r="D53" s="19" t="inlineStr">
        <is>
          <t>Form-based roster provisioning</t>
        </is>
      </c>
      <c r="E53" s="20" t="inlineStr">
        <is>
          <t>P2 — High</t>
        </is>
      </c>
      <c r="F53" s="20" t="inlineStr">
        <is>
          <t>Phase 1 — MVP</t>
        </is>
      </c>
      <c r="G53" s="20" t="inlineStr">
        <is>
          <t>In Progress</t>
        </is>
      </c>
      <c r="H53" s="20" t="inlineStr">
        <is>
          <t>Complete</t>
        </is>
      </c>
      <c r="I53" s="20" t="inlineStr">
        <is>
          <t>Not Started</t>
        </is>
      </c>
      <c r="J53" s="21">
        <f>IF(G53="Completed",100,IF(G53="Deferred",0,IF(G53="Cancelled",0,IF(G53="Not Started",0,IF(G53="On Hold",IF(OR(H53="Complete",H53="N/A"),50,25),ROUND((IF(H53="Complete",100,IF(H53="In Progress",50,IF(H53="Blocked",25,0)))+IF(I53="Complete",100,IF(I53="In Progress",50,IF(I53="Blocked",25,IF(I53="N/A",100,0)))))/2,0))))))</f>
        <v/>
      </c>
      <c r="K53" s="21">
        <f>IF(G53="Completed","Green",IF(G53="Deferred","Grey",IF(G53="Cancelled","Grey",IF(G53="On Hold","Red",IF(J53&gt;=80,"Green",IF(J53&gt;=40,"Amber","Red"))))))</f>
        <v/>
      </c>
      <c r="L53" s="20" t="inlineStr">
        <is>
          <t>Full Stack Developer</t>
        </is>
      </c>
      <c r="M53" s="20" t="inlineStr">
        <is>
          <t>Engineering Manager</t>
        </is>
      </c>
      <c r="N53" s="22" t="n">
        <v>46157</v>
      </c>
      <c r="O53" s="22" t="n">
        <v>46170</v>
      </c>
      <c r="P53" s="22" t="n"/>
      <c r="Q53" s="22" t="n">
        <v>46170</v>
      </c>
      <c r="R53" s="20" t="inlineStr">
        <is>
          <t>FTR-051</t>
        </is>
      </c>
      <c r="S53" s="19" t="inlineStr"/>
    </row>
    <row r="54">
      <c r="A54" s="4" t="inlineStr">
        <is>
          <t>FTR-054</t>
        </is>
      </c>
      <c r="B54" s="4" t="inlineStr">
        <is>
          <t>Enterprise</t>
        </is>
      </c>
      <c r="C54" s="12" t="inlineStr">
        <is>
          <t>Settings — tenant &amp; plan</t>
        </is>
      </c>
      <c r="D54" s="13" t="inlineStr">
        <is>
          <t>RBAC settings navigation and workspaces</t>
        </is>
      </c>
      <c r="E54" s="14" t="inlineStr">
        <is>
          <t>P2 — High</t>
        </is>
      </c>
      <c r="F54" s="14" t="inlineStr">
        <is>
          <t>Phase 1 — MVP</t>
        </is>
      </c>
      <c r="G54" s="14" t="inlineStr">
        <is>
          <t>In Progress</t>
        </is>
      </c>
      <c r="H54" s="14" t="inlineStr">
        <is>
          <t>Complete</t>
        </is>
      </c>
      <c r="I54" s="14" t="inlineStr">
        <is>
          <t>Not Started</t>
        </is>
      </c>
      <c r="J54" s="15">
        <f>IF(G54="Completed",100,IF(G54="Deferred",0,IF(G54="Cancelled",0,IF(G54="Not Started",0,IF(G54="On Hold",IF(OR(H54="Complete",H54="N/A"),50,25),ROUND((IF(H54="Complete",100,IF(H54="In Progress",50,IF(H54="Blocked",25,0)))+IF(I54="Complete",100,IF(I54="In Progress",50,IF(I54="Blocked",25,IF(I54="N/A",100,0)))))/2,0))))))</f>
        <v/>
      </c>
      <c r="K54" s="15">
        <f>IF(G54="Completed","Green",IF(G54="Deferred","Grey",IF(G54="Cancelled","Grey",IF(G54="On Hold","Red",IF(J54&gt;=80,"Green",IF(J54&gt;=40,"Amber","Red"))))))</f>
        <v/>
      </c>
      <c r="L54" s="14" t="inlineStr">
        <is>
          <t>Full Stack Developer</t>
        </is>
      </c>
      <c r="M54" s="14" t="inlineStr">
        <is>
          <t>Engineering Manager</t>
        </is>
      </c>
      <c r="N54" s="16" t="n">
        <v>46143</v>
      </c>
      <c r="O54" s="16" t="n">
        <v>46188</v>
      </c>
      <c r="P54" s="16" t="n"/>
      <c r="Q54" s="16" t="n">
        <v>46170</v>
      </c>
      <c r="R54" s="14" t="inlineStr">
        <is>
          <t>FTR-093</t>
        </is>
      </c>
      <c r="S54" s="13" t="inlineStr"/>
    </row>
    <row r="55">
      <c r="A55" s="17" t="inlineStr">
        <is>
          <t>FTR-055</t>
        </is>
      </c>
      <c r="B55" s="17" t="inlineStr">
        <is>
          <t>Enterprise</t>
        </is>
      </c>
      <c r="C55" s="18" t="inlineStr">
        <is>
          <t>Profile &amp; security settings</t>
        </is>
      </c>
      <c r="D55" s="19" t="inlineStr">
        <is>
          <t>Sessions, MFA display, security prefs</t>
        </is>
      </c>
      <c r="E55" s="20" t="inlineStr">
        <is>
          <t>P2 — High</t>
        </is>
      </c>
      <c r="F55" s="20" t="inlineStr">
        <is>
          <t>Phase 1 — MVP</t>
        </is>
      </c>
      <c r="G55" s="20" t="inlineStr">
        <is>
          <t>In Progress</t>
        </is>
      </c>
      <c r="H55" s="20" t="inlineStr">
        <is>
          <t>Complete</t>
        </is>
      </c>
      <c r="I55" s="20" t="inlineStr">
        <is>
          <t>In Progress</t>
        </is>
      </c>
      <c r="J55" s="21">
        <f>IF(G55="Completed",100,IF(G55="Deferred",0,IF(G55="Cancelled",0,IF(G55="Not Started",0,IF(G55="On Hold",IF(OR(H55="Complete",H55="N/A"),50,25),ROUND((IF(H55="Complete",100,IF(H55="In Progress",50,IF(H55="Blocked",25,0)))+IF(I55="Complete",100,IF(I55="In Progress",50,IF(I55="Blocked",25,IF(I55="N/A",100,0)))))/2,0))))))</f>
        <v/>
      </c>
      <c r="K55" s="21">
        <f>IF(G55="Completed","Green",IF(G55="Deferred","Grey",IF(G55="Cancelled","Grey",IF(G55="On Hold","Red",IF(J55&gt;=80,"Green",IF(J55&gt;=40,"Amber","Red"))))))</f>
        <v/>
      </c>
      <c r="L55" s="20" t="inlineStr">
        <is>
          <t>Full Stack Developer</t>
        </is>
      </c>
      <c r="M55" s="20" t="inlineStr">
        <is>
          <t>Engineering Manager</t>
        </is>
      </c>
      <c r="N55" s="22" t="n">
        <v>46143</v>
      </c>
      <c r="O55" s="22" t="n">
        <v>46188</v>
      </c>
      <c r="P55" s="22" t="n"/>
      <c r="Q55" s="22" t="n">
        <v>46170</v>
      </c>
      <c r="R55" s="20" t="inlineStr">
        <is>
          <t>FTR-004</t>
        </is>
      </c>
      <c r="S55" s="19" t="inlineStr"/>
    </row>
    <row r="56">
      <c r="A56" s="4" t="inlineStr">
        <is>
          <t>FTR-056</t>
        </is>
      </c>
      <c r="B56" s="4" t="inlineStr">
        <is>
          <t>Enterprise</t>
        </is>
      </c>
      <c r="C56" s="12" t="inlineStr">
        <is>
          <t>Notifications centre</t>
        </is>
      </c>
      <c r="D56" s="13" t="inlineStr">
        <is>
          <t>In-app notification feed</t>
        </is>
      </c>
      <c r="E56" s="14" t="inlineStr">
        <is>
          <t>P3 — Medium</t>
        </is>
      </c>
      <c r="F56" s="14" t="inlineStr">
        <is>
          <t>Phase 1 — MVP</t>
        </is>
      </c>
      <c r="G56" s="14" t="inlineStr">
        <is>
          <t>In Progress</t>
        </is>
      </c>
      <c r="H56" s="14" t="inlineStr">
        <is>
          <t>Complete</t>
        </is>
      </c>
      <c r="I56" s="14" t="inlineStr">
        <is>
          <t>Not Started</t>
        </is>
      </c>
      <c r="J56" s="15">
        <f>IF(G56="Completed",100,IF(G56="Deferred",0,IF(G56="Cancelled",0,IF(G56="Not Started",0,IF(G56="On Hold",IF(OR(H56="Complete",H56="N/A"),50,25),ROUND((IF(H56="Complete",100,IF(H56="In Progress",50,IF(H56="Blocked",25,0)))+IF(I56="Complete",100,IF(I56="In Progress",50,IF(I56="Blocked",25,IF(I56="N/A",100,0)))))/2,0))))))</f>
        <v/>
      </c>
      <c r="K56" s="15">
        <f>IF(G56="Completed","Green",IF(G56="Deferred","Grey",IF(G56="Cancelled","Grey",IF(G56="On Hold","Red",IF(J56&gt;=80,"Green",IF(J56&gt;=40,"Amber","Red"))))))</f>
        <v/>
      </c>
      <c r="L56" s="14" t="inlineStr">
        <is>
          <t>Frontend Lead</t>
        </is>
      </c>
      <c r="M56" s="14" t="inlineStr">
        <is>
          <t>Engineering Manager</t>
        </is>
      </c>
      <c r="N56" s="16" t="n">
        <v>46157</v>
      </c>
      <c r="O56" s="16" t="n">
        <v>46204</v>
      </c>
      <c r="P56" s="16" t="n"/>
      <c r="Q56" s="16" t="n">
        <v>46170</v>
      </c>
      <c r="R56" s="14" t="inlineStr">
        <is>
          <t>FTR-093</t>
        </is>
      </c>
      <c r="S56" s="13" t="inlineStr"/>
    </row>
    <row r="57">
      <c r="A57" s="17" t="inlineStr">
        <is>
          <t>FTR-057</t>
        </is>
      </c>
      <c r="B57" s="17" t="inlineStr">
        <is>
          <t>Enterprise</t>
        </is>
      </c>
      <c r="C57" s="18" t="inlineStr">
        <is>
          <t>Enterprise onboarding</t>
        </is>
      </c>
      <c r="D57" s="19" t="inlineStr">
        <is>
          <t>First-time admin onboarding flow</t>
        </is>
      </c>
      <c r="E57" s="20" t="inlineStr">
        <is>
          <t>P2 — High</t>
        </is>
      </c>
      <c r="F57" s="20" t="inlineStr">
        <is>
          <t>Phase 1 — MVP</t>
        </is>
      </c>
      <c r="G57" s="20" t="inlineStr">
        <is>
          <t>In Progress</t>
        </is>
      </c>
      <c r="H57" s="20" t="inlineStr">
        <is>
          <t>Complete</t>
        </is>
      </c>
      <c r="I57" s="20" t="inlineStr">
        <is>
          <t>In Progress</t>
        </is>
      </c>
      <c r="J57" s="21">
        <f>IF(G57="Completed",100,IF(G57="Deferred",0,IF(G57="Cancelled",0,IF(G57="Not Started",0,IF(G57="On Hold",IF(OR(H57="Complete",H57="N/A"),50,25),ROUND((IF(H57="Complete",100,IF(H57="In Progress",50,IF(H57="Blocked",25,0)))+IF(I57="Complete",100,IF(I57="In Progress",50,IF(I57="Blocked",25,IF(I57="N/A",100,0)))))/2,0))))))</f>
        <v/>
      </c>
      <c r="K57" s="21">
        <f>IF(G57="Completed","Green",IF(G57="Deferred","Grey",IF(G57="Cancelled","Grey",IF(G57="On Hold","Red",IF(J57&gt;=80,"Green",IF(J57&gt;=40,"Amber","Red"))))))</f>
        <v/>
      </c>
      <c r="L57" s="20" t="inlineStr">
        <is>
          <t>Full Stack Developer</t>
        </is>
      </c>
      <c r="M57" s="20" t="inlineStr">
        <is>
          <t>Engineering Manager</t>
        </is>
      </c>
      <c r="N57" s="22" t="n">
        <v>46127</v>
      </c>
      <c r="O57" s="22" t="n">
        <v>46174</v>
      </c>
      <c r="P57" s="22" t="n"/>
      <c r="Q57" s="22" t="n">
        <v>46170</v>
      </c>
      <c r="R57" s="20" t="inlineStr">
        <is>
          <t>—</t>
        </is>
      </c>
      <c r="S57" s="19" t="inlineStr"/>
    </row>
    <row r="58">
      <c r="A58" s="4" t="inlineStr">
        <is>
          <t>FTR-058</t>
        </is>
      </c>
      <c r="B58" s="4" t="inlineStr">
        <is>
          <t>Enterprise</t>
        </is>
      </c>
      <c r="C58" s="12" t="inlineStr">
        <is>
          <t>Analytics console</t>
        </is>
      </c>
      <c r="D58" s="13" t="inlineStr">
        <is>
          <t>Economic and governance analytics</t>
        </is>
      </c>
      <c r="E58" s="14" t="inlineStr">
        <is>
          <t>P4 — Low</t>
        </is>
      </c>
      <c r="F58" s="14" t="inlineStr">
        <is>
          <t>Phase 2</t>
        </is>
      </c>
      <c r="G58" s="14" t="inlineStr">
        <is>
          <t>Deferred</t>
        </is>
      </c>
      <c r="H58" s="14" t="inlineStr">
        <is>
          <t>Complete</t>
        </is>
      </c>
      <c r="I58" s="14" t="inlineStr">
        <is>
          <t>Not Started</t>
        </is>
      </c>
      <c r="J58" s="15">
        <f>IF(G58="Completed",100,IF(G58="Deferred",0,IF(G58="Cancelled",0,IF(G58="Not Started",0,IF(G58="On Hold",IF(OR(H58="Complete",H58="N/A"),50,25),ROUND((IF(H58="Complete",100,IF(H58="In Progress",50,IF(H58="Blocked",25,0)))+IF(I58="Complete",100,IF(I58="In Progress",50,IF(I58="Blocked",25,IF(I58="N/A",100,0)))))/2,0))))))</f>
        <v/>
      </c>
      <c r="K58" s="15">
        <f>IF(G58="Completed","Green",IF(G58="Deferred","Grey",IF(G58="Cancelled","Grey",IF(G58="On Hold","Red",IF(J58&gt;=80,"Green",IF(J58&gt;=40,"Amber","Red"))))))</f>
        <v/>
      </c>
      <c r="L58" s="14" t="inlineStr">
        <is>
          <t>Unassigned</t>
        </is>
      </c>
      <c r="M58" s="14" t="inlineStr">
        <is>
          <t>Engineering Manager</t>
        </is>
      </c>
      <c r="N58" s="16" t="n"/>
      <c r="O58" s="16" t="n">
        <v>46266</v>
      </c>
      <c r="P58" s="16" t="n"/>
      <c r="Q58" s="16" t="n">
        <v>46170</v>
      </c>
      <c r="R58" s="14" t="inlineStr">
        <is>
          <t>—</t>
        </is>
      </c>
      <c r="S58" s="13" t="inlineStr">
        <is>
          <t>Phase 2 scope</t>
        </is>
      </c>
    </row>
    <row r="59">
      <c r="A59" s="17" t="inlineStr">
        <is>
          <t>FTR-059</t>
        </is>
      </c>
      <c r="B59" s="17" t="inlineStr">
        <is>
          <t>Enterprise</t>
        </is>
      </c>
      <c r="C59" s="18" t="inlineStr">
        <is>
          <t>Compliance module</t>
        </is>
      </c>
      <c r="D59" s="19" t="inlineStr">
        <is>
          <t>ESG, evidence locker, PODL</t>
        </is>
      </c>
      <c r="E59" s="20" t="inlineStr">
        <is>
          <t>P4 — Low</t>
        </is>
      </c>
      <c r="F59" s="20" t="inlineStr">
        <is>
          <t>Phase 2</t>
        </is>
      </c>
      <c r="G59" s="20" t="inlineStr">
        <is>
          <t>Deferred</t>
        </is>
      </c>
      <c r="H59" s="20" t="inlineStr">
        <is>
          <t>Complete</t>
        </is>
      </c>
      <c r="I59" s="20" t="inlineStr">
        <is>
          <t>Not Started</t>
        </is>
      </c>
      <c r="J59" s="21">
        <f>IF(G59="Completed",100,IF(G59="Deferred",0,IF(G59="Cancelled",0,IF(G59="Not Started",0,IF(G59="On Hold",IF(OR(H59="Complete",H59="N/A"),50,25),ROUND((IF(H59="Complete",100,IF(H59="In Progress",50,IF(H59="Blocked",25,0)))+IF(I59="Complete",100,IF(I59="In Progress",50,IF(I59="Blocked",25,IF(I59="N/A",100,0)))))/2,0))))))</f>
        <v/>
      </c>
      <c r="K59" s="21">
        <f>IF(G59="Completed","Green",IF(G59="Deferred","Grey",IF(G59="Cancelled","Grey",IF(G59="On Hold","Red",IF(J59&gt;=80,"Green",IF(J59&gt;=40,"Amber","Red"))))))</f>
        <v/>
      </c>
      <c r="L59" s="20" t="inlineStr">
        <is>
          <t>Unassigned</t>
        </is>
      </c>
      <c r="M59" s="20" t="inlineStr">
        <is>
          <t>Engineering Manager</t>
        </is>
      </c>
      <c r="N59" s="22" t="n"/>
      <c r="O59" s="22" t="n">
        <v>46266</v>
      </c>
      <c r="P59" s="22" t="n"/>
      <c r="Q59" s="22" t="n">
        <v>46170</v>
      </c>
      <c r="R59" s="20" t="inlineStr">
        <is>
          <t>—</t>
        </is>
      </c>
      <c r="S59" s="19" t="inlineStr">
        <is>
          <t>Phase 2 scope</t>
        </is>
      </c>
    </row>
    <row r="60">
      <c r="A60" s="4" t="inlineStr">
        <is>
          <t>FTR-060</t>
        </is>
      </c>
      <c r="B60" s="4" t="inlineStr">
        <is>
          <t>Enterprise</t>
        </is>
      </c>
      <c r="C60" s="12" t="inlineStr">
        <is>
          <t>Audit log export</t>
        </is>
      </c>
      <c r="D60" s="13" t="inlineStr">
        <is>
          <t>Enterprise audit trail export</t>
        </is>
      </c>
      <c r="E60" s="14" t="inlineStr">
        <is>
          <t>P4 — Low</t>
        </is>
      </c>
      <c r="F60" s="14" t="inlineStr">
        <is>
          <t>Phase 2</t>
        </is>
      </c>
      <c r="G60" s="14" t="inlineStr">
        <is>
          <t>Deferred</t>
        </is>
      </c>
      <c r="H60" s="14" t="inlineStr">
        <is>
          <t>In Progress</t>
        </is>
      </c>
      <c r="I60" s="14" t="inlineStr">
        <is>
          <t>In Progress</t>
        </is>
      </c>
      <c r="J60" s="15">
        <f>IF(G60="Completed",100,IF(G60="Deferred",0,IF(G60="Cancelled",0,IF(G60="Not Started",0,IF(G60="On Hold",IF(OR(H60="Complete",H60="N/A"),50,25),ROUND((IF(H60="Complete",100,IF(H60="In Progress",50,IF(H60="Blocked",25,0)))+IF(I60="Complete",100,IF(I60="In Progress",50,IF(I60="Blocked",25,IF(I60="N/A",100,0)))))/2,0))))))</f>
        <v/>
      </c>
      <c r="K60" s="15">
        <f>IF(G60="Completed","Green",IF(G60="Deferred","Grey",IF(G60="Cancelled","Grey",IF(G60="On Hold","Red",IF(J60&gt;=80,"Green",IF(J60&gt;=40,"Amber","Red"))))))</f>
        <v/>
      </c>
      <c r="L60" s="14" t="inlineStr">
        <is>
          <t>Backend Lead</t>
        </is>
      </c>
      <c r="M60" s="14" t="inlineStr">
        <is>
          <t>Engineering Manager</t>
        </is>
      </c>
      <c r="N60" s="16" t="n">
        <v>46204</v>
      </c>
      <c r="O60" s="16" t="n">
        <v>46235</v>
      </c>
      <c r="P60" s="16" t="n"/>
      <c r="Q60" s="16" t="n">
        <v>46170</v>
      </c>
      <c r="R60" s="14" t="inlineStr">
        <is>
          <t>FTR-015</t>
        </is>
      </c>
      <c r="S60" s="13" t="inlineStr"/>
    </row>
    <row r="61">
      <c r="A61" s="17" t="inlineStr">
        <is>
          <t>FTR-070</t>
        </is>
      </c>
      <c r="B61" s="17" t="inlineStr">
        <is>
          <t>Mentor</t>
        </is>
      </c>
      <c r="C61" s="18" t="inlineStr">
        <is>
          <t>Dashboard</t>
        </is>
      </c>
      <c r="D61" s="19" t="inlineStr">
        <is>
          <t>Mentor home with queue summary</t>
        </is>
      </c>
      <c r="E61" s="20" t="inlineStr">
        <is>
          <t>P1 — Critical</t>
        </is>
      </c>
      <c r="F61" s="20" t="inlineStr">
        <is>
          <t>Phase 1 — MVP</t>
        </is>
      </c>
      <c r="G61" s="20" t="inlineStr">
        <is>
          <t>In Progress</t>
        </is>
      </c>
      <c r="H61" s="20" t="inlineStr">
        <is>
          <t>Complete</t>
        </is>
      </c>
      <c r="I61" s="20" t="inlineStr">
        <is>
          <t>Not Started</t>
        </is>
      </c>
      <c r="J61" s="21">
        <f>IF(G61="Completed",100,IF(G61="Deferred",0,IF(G61="Cancelled",0,IF(G61="Not Started",0,IF(G61="On Hold",IF(OR(H61="Complete",H61="N/A"),50,25),ROUND((IF(H61="Complete",100,IF(H61="In Progress",50,IF(H61="Blocked",25,0)))+IF(I61="Complete",100,IF(I61="In Progress",50,IF(I61="Blocked",25,IF(I61="N/A",100,0)))))/2,0))))))</f>
        <v/>
      </c>
      <c r="K61" s="21">
        <f>IF(G61="Completed","Green",IF(G61="Deferred","Grey",IF(G61="Cancelled","Grey",IF(G61="On Hold","Red",IF(J61&gt;=80,"Green",IF(J61&gt;=40,"Amber","Red"))))))</f>
        <v/>
      </c>
      <c r="L61" s="20" t="inlineStr">
        <is>
          <t>Frontend Lead</t>
        </is>
      </c>
      <c r="M61" s="20" t="inlineStr">
        <is>
          <t>Engineering Manager</t>
        </is>
      </c>
      <c r="N61" s="22" t="n">
        <v>46113</v>
      </c>
      <c r="O61" s="22" t="n">
        <v>46143</v>
      </c>
      <c r="P61" s="22" t="n"/>
      <c r="Q61" s="22" t="n">
        <v>46170</v>
      </c>
      <c r="R61" s="20" t="inlineStr">
        <is>
          <t>—</t>
        </is>
      </c>
      <c r="S61" s="19" t="inlineStr"/>
    </row>
    <row r="62">
      <c r="A62" s="4" t="inlineStr">
        <is>
          <t>FTR-071</t>
        </is>
      </c>
      <c r="B62" s="4" t="inlineStr">
        <is>
          <t>Mentor</t>
        </is>
      </c>
      <c r="C62" s="12" t="inlineStr">
        <is>
          <t>Review queue</t>
        </is>
      </c>
      <c r="D62" s="13" t="inlineStr">
        <is>
          <t>Pending submissions awaiting review</t>
        </is>
      </c>
      <c r="E62" s="14" t="inlineStr">
        <is>
          <t>P1 — Critical</t>
        </is>
      </c>
      <c r="F62" s="14" t="inlineStr">
        <is>
          <t>Phase 1 — MVP</t>
        </is>
      </c>
      <c r="G62" s="14" t="inlineStr">
        <is>
          <t>In Progress</t>
        </is>
      </c>
      <c r="H62" s="14" t="inlineStr">
        <is>
          <t>Complete</t>
        </is>
      </c>
      <c r="I62" s="14" t="inlineStr">
        <is>
          <t>Not Started</t>
        </is>
      </c>
      <c r="J62" s="15">
        <f>IF(G62="Completed",100,IF(G62="Deferred",0,IF(G62="Cancelled",0,IF(G62="Not Started",0,IF(G62="On Hold",IF(OR(H62="Complete",H62="N/A"),50,25),ROUND((IF(H62="Complete",100,IF(H62="In Progress",50,IF(H62="Blocked",25,0)))+IF(I62="Complete",100,IF(I62="In Progress",50,IF(I62="Blocked",25,IF(I62="N/A",100,0)))))/2,0))))))</f>
        <v/>
      </c>
      <c r="K62" s="15">
        <f>IF(G62="Completed","Green",IF(G62="Deferred","Grey",IF(G62="Cancelled","Grey",IF(G62="On Hold","Red",IF(J62&gt;=80,"Green",IF(J62&gt;=40,"Amber","Red"))))))</f>
        <v/>
      </c>
      <c r="L62" s="14" t="inlineStr">
        <is>
          <t>Full Stack Developer</t>
        </is>
      </c>
      <c r="M62" s="14" t="inlineStr">
        <is>
          <t>Engineering Manager</t>
        </is>
      </c>
      <c r="N62" s="16" t="n">
        <v>46127</v>
      </c>
      <c r="O62" s="16" t="n">
        <v>46203</v>
      </c>
      <c r="P62" s="16" t="n"/>
      <c r="Q62" s="16" t="n">
        <v>46170</v>
      </c>
      <c r="R62" s="14" t="inlineStr">
        <is>
          <t>FTR-092</t>
        </is>
      </c>
      <c r="S62" s="13" t="inlineStr"/>
    </row>
    <row r="63">
      <c r="A63" s="17" t="inlineStr">
        <is>
          <t>FTR-072</t>
        </is>
      </c>
      <c r="B63" s="17" t="inlineStr">
        <is>
          <t>Mentor</t>
        </is>
      </c>
      <c r="C63" s="18" t="inlineStr">
        <is>
          <t>Active review detail</t>
        </is>
      </c>
      <c r="D63" s="19" t="inlineStr">
        <is>
          <t>Rubric scoring and approve / rework</t>
        </is>
      </c>
      <c r="E63" s="20" t="inlineStr">
        <is>
          <t>P1 — Critical</t>
        </is>
      </c>
      <c r="F63" s="20" t="inlineStr">
        <is>
          <t>Phase 1 — MVP</t>
        </is>
      </c>
      <c r="G63" s="20" t="inlineStr">
        <is>
          <t>In Progress</t>
        </is>
      </c>
      <c r="H63" s="20" t="inlineStr">
        <is>
          <t>Complete</t>
        </is>
      </c>
      <c r="I63" s="20" t="inlineStr">
        <is>
          <t>Not Started</t>
        </is>
      </c>
      <c r="J63" s="21">
        <f>IF(G63="Completed",100,IF(G63="Deferred",0,IF(G63="Cancelled",0,IF(G63="Not Started",0,IF(G63="On Hold",IF(OR(H63="Complete",H63="N/A"),50,25),ROUND((IF(H63="Complete",100,IF(H63="In Progress",50,IF(H63="Blocked",25,0)))+IF(I63="Complete",100,IF(I63="In Progress",50,IF(I63="Blocked",25,IF(I63="N/A",100,0)))))/2,0))))))</f>
        <v/>
      </c>
      <c r="K63" s="21">
        <f>IF(G63="Completed","Green",IF(G63="Deferred","Grey",IF(G63="Cancelled","Grey",IF(G63="On Hold","Red",IF(J63&gt;=80,"Green",IF(J63&gt;=40,"Amber","Red"))))))</f>
        <v/>
      </c>
      <c r="L63" s="20" t="inlineStr">
        <is>
          <t>Full Stack Developer</t>
        </is>
      </c>
      <c r="M63" s="20" t="inlineStr">
        <is>
          <t>Engineering Manager</t>
        </is>
      </c>
      <c r="N63" s="22" t="n">
        <v>46127</v>
      </c>
      <c r="O63" s="22" t="n">
        <v>46203</v>
      </c>
      <c r="P63" s="22" t="n"/>
      <c r="Q63" s="22" t="n">
        <v>46170</v>
      </c>
      <c r="R63" s="20" t="inlineStr">
        <is>
          <t>FTR-092</t>
        </is>
      </c>
      <c r="S63" s="19" t="inlineStr"/>
    </row>
    <row r="64">
      <c r="A64" s="4" t="inlineStr">
        <is>
          <t>FTR-073</t>
        </is>
      </c>
      <c r="B64" s="4" t="inlineStr">
        <is>
          <t>Mentor</t>
        </is>
      </c>
      <c r="C64" s="12" t="inlineStr">
        <is>
          <t>Escalation management</t>
        </is>
      </c>
      <c r="D64" s="13" t="inlineStr">
        <is>
          <t>Escalated review resolution</t>
        </is>
      </c>
      <c r="E64" s="14" t="inlineStr">
        <is>
          <t>P2 — High</t>
        </is>
      </c>
      <c r="F64" s="14" t="inlineStr">
        <is>
          <t>Phase 1 — MVP</t>
        </is>
      </c>
      <c r="G64" s="14" t="inlineStr">
        <is>
          <t>In Progress</t>
        </is>
      </c>
      <c r="H64" s="14" t="inlineStr">
        <is>
          <t>Complete</t>
        </is>
      </c>
      <c r="I64" s="14" t="inlineStr">
        <is>
          <t>Not Started</t>
        </is>
      </c>
      <c r="J64" s="15">
        <f>IF(G64="Completed",100,IF(G64="Deferred",0,IF(G64="Cancelled",0,IF(G64="Not Started",0,IF(G64="On Hold",IF(OR(H64="Complete",H64="N/A"),50,25),ROUND((IF(H64="Complete",100,IF(H64="In Progress",50,IF(H64="Blocked",25,0)))+IF(I64="Complete",100,IF(I64="In Progress",50,IF(I64="Blocked",25,IF(I64="N/A",100,0)))))/2,0))))))</f>
        <v/>
      </c>
      <c r="K64" s="15">
        <f>IF(G64="Completed","Green",IF(G64="Deferred","Grey",IF(G64="Cancelled","Grey",IF(G64="On Hold","Red",IF(J64&gt;=80,"Green",IF(J64&gt;=40,"Amber","Red"))))))</f>
        <v/>
      </c>
      <c r="L64" s="14" t="inlineStr">
        <is>
          <t>Frontend Lead</t>
        </is>
      </c>
      <c r="M64" s="14" t="inlineStr">
        <is>
          <t>Engineering Manager</t>
        </is>
      </c>
      <c r="N64" s="16" t="n">
        <v>46143</v>
      </c>
      <c r="O64" s="16" t="n">
        <v>46204</v>
      </c>
      <c r="P64" s="16" t="n"/>
      <c r="Q64" s="16" t="n">
        <v>46170</v>
      </c>
      <c r="R64" s="14" t="inlineStr">
        <is>
          <t>—</t>
        </is>
      </c>
      <c r="S64" s="13" t="inlineStr"/>
    </row>
    <row r="65">
      <c r="A65" s="17" t="inlineStr">
        <is>
          <t>FTR-074</t>
        </is>
      </c>
      <c r="B65" s="17" t="inlineStr">
        <is>
          <t>Mentor</t>
        </is>
      </c>
      <c r="C65" s="18" t="inlineStr">
        <is>
          <t>Mentorship sessions</t>
        </is>
      </c>
      <c r="D65" s="19" t="inlineStr">
        <is>
          <t>Session notes and history</t>
        </is>
      </c>
      <c r="E65" s="20" t="inlineStr">
        <is>
          <t>P2 — High</t>
        </is>
      </c>
      <c r="F65" s="20" t="inlineStr">
        <is>
          <t>Phase 1 — MVP</t>
        </is>
      </c>
      <c r="G65" s="20" t="inlineStr">
        <is>
          <t>In Progress</t>
        </is>
      </c>
      <c r="H65" s="20" t="inlineStr">
        <is>
          <t>Complete</t>
        </is>
      </c>
      <c r="I65" s="20" t="inlineStr">
        <is>
          <t>Not Started</t>
        </is>
      </c>
      <c r="J65" s="21">
        <f>IF(G65="Completed",100,IF(G65="Deferred",0,IF(G65="Cancelled",0,IF(G65="Not Started",0,IF(G65="On Hold",IF(OR(H65="Complete",H65="N/A"),50,25),ROUND((IF(H65="Complete",100,IF(H65="In Progress",50,IF(H65="Blocked",25,0)))+IF(I65="Complete",100,IF(I65="In Progress",50,IF(I65="Blocked",25,IF(I65="N/A",100,0)))))/2,0))))))</f>
        <v/>
      </c>
      <c r="K65" s="21">
        <f>IF(G65="Completed","Green",IF(G65="Deferred","Grey",IF(G65="Cancelled","Grey",IF(G65="On Hold","Red",IF(J65&gt;=80,"Green",IF(J65&gt;=40,"Amber","Red"))))))</f>
        <v/>
      </c>
      <c r="L65" s="20" t="inlineStr">
        <is>
          <t>Frontend Lead</t>
        </is>
      </c>
      <c r="M65" s="20" t="inlineStr">
        <is>
          <t>Engineering Manager</t>
        </is>
      </c>
      <c r="N65" s="22" t="n">
        <v>46157</v>
      </c>
      <c r="O65" s="22" t="n">
        <v>46218</v>
      </c>
      <c r="P65" s="22" t="n"/>
      <c r="Q65" s="22" t="n">
        <v>46170</v>
      </c>
      <c r="R65" s="20" t="inlineStr">
        <is>
          <t>—</t>
        </is>
      </c>
      <c r="S65" s="19" t="inlineStr"/>
    </row>
    <row r="66">
      <c r="A66" s="4" t="inlineStr">
        <is>
          <t>FTR-075</t>
        </is>
      </c>
      <c r="B66" s="4" t="inlineStr">
        <is>
          <t>Mentor</t>
        </is>
      </c>
      <c r="C66" s="12" t="inlineStr">
        <is>
          <t>Review history</t>
        </is>
      </c>
      <c r="D66" s="13" t="inlineStr">
        <is>
          <t>Completed reviews archive</t>
        </is>
      </c>
      <c r="E66" s="14" t="inlineStr">
        <is>
          <t>P2 — High</t>
        </is>
      </c>
      <c r="F66" s="14" t="inlineStr">
        <is>
          <t>Phase 1 — MVP</t>
        </is>
      </c>
      <c r="G66" s="14" t="inlineStr">
        <is>
          <t>In Progress</t>
        </is>
      </c>
      <c r="H66" s="14" t="inlineStr">
        <is>
          <t>Complete</t>
        </is>
      </c>
      <c r="I66" s="14" t="inlineStr">
        <is>
          <t>Not Started</t>
        </is>
      </c>
      <c r="J66" s="15">
        <f>IF(G66="Completed",100,IF(G66="Deferred",0,IF(G66="Cancelled",0,IF(G66="Not Started",0,IF(G66="On Hold",IF(OR(H66="Complete",H66="N/A"),50,25),ROUND((IF(H66="Complete",100,IF(H66="In Progress",50,IF(H66="Blocked",25,0)))+IF(I66="Complete",100,IF(I66="In Progress",50,IF(I66="Blocked",25,IF(I66="N/A",100,0)))))/2,0))))))</f>
        <v/>
      </c>
      <c r="K66" s="15">
        <f>IF(G66="Completed","Green",IF(G66="Deferred","Grey",IF(G66="Cancelled","Grey",IF(G66="On Hold","Red",IF(J66&gt;=80,"Green",IF(J66&gt;=40,"Amber","Red"))))))</f>
        <v/>
      </c>
      <c r="L66" s="14" t="inlineStr">
        <is>
          <t>Frontend Lead</t>
        </is>
      </c>
      <c r="M66" s="14" t="inlineStr">
        <is>
          <t>Engineering Manager</t>
        </is>
      </c>
      <c r="N66" s="16" t="n">
        <v>46143</v>
      </c>
      <c r="O66" s="16" t="n">
        <v>46174</v>
      </c>
      <c r="P66" s="16" t="n"/>
      <c r="Q66" s="16" t="n">
        <v>46170</v>
      </c>
      <c r="R66" s="14" t="inlineStr">
        <is>
          <t>—</t>
        </is>
      </c>
      <c r="S66" s="13" t="inlineStr"/>
    </row>
    <row r="67">
      <c r="A67" s="17" t="inlineStr">
        <is>
          <t>FTR-076</t>
        </is>
      </c>
      <c r="B67" s="17" t="inlineStr">
        <is>
          <t>Mentor</t>
        </is>
      </c>
      <c r="C67" s="18" t="inlineStr">
        <is>
          <t>Profile &amp; settings</t>
        </is>
      </c>
      <c r="D67" s="19" t="inlineStr">
        <is>
          <t>Mentor preferences</t>
        </is>
      </c>
      <c r="E67" s="20" t="inlineStr">
        <is>
          <t>P3 — Medium</t>
        </is>
      </c>
      <c r="F67" s="20" t="inlineStr">
        <is>
          <t>Phase 1 — MVP</t>
        </is>
      </c>
      <c r="G67" s="20" t="inlineStr">
        <is>
          <t>In Progress</t>
        </is>
      </c>
      <c r="H67" s="20" t="inlineStr">
        <is>
          <t>Complete</t>
        </is>
      </c>
      <c r="I67" s="20" t="inlineStr">
        <is>
          <t>Not Started</t>
        </is>
      </c>
      <c r="J67" s="21">
        <f>IF(G67="Completed",100,IF(G67="Deferred",0,IF(G67="Cancelled",0,IF(G67="Not Started",0,IF(G67="On Hold",IF(OR(H67="Complete",H67="N/A"),50,25),ROUND((IF(H67="Complete",100,IF(H67="In Progress",50,IF(H67="Blocked",25,0)))+IF(I67="Complete",100,IF(I67="In Progress",50,IF(I67="Blocked",25,IF(I67="N/A",100,0)))))/2,0))))))</f>
        <v/>
      </c>
      <c r="K67" s="21">
        <f>IF(G67="Completed","Green",IF(G67="Deferred","Grey",IF(G67="Cancelled","Grey",IF(G67="On Hold","Red",IF(J67&gt;=80,"Green",IF(J67&gt;=40,"Amber","Red"))))))</f>
        <v/>
      </c>
      <c r="L67" s="20" t="inlineStr">
        <is>
          <t>Frontend Lead</t>
        </is>
      </c>
      <c r="M67" s="20" t="inlineStr">
        <is>
          <t>Engineering Manager</t>
        </is>
      </c>
      <c r="N67" s="22" t="n">
        <v>46157</v>
      </c>
      <c r="O67" s="22" t="n">
        <v>46204</v>
      </c>
      <c r="P67" s="22" t="n"/>
      <c r="Q67" s="22" t="n">
        <v>46170</v>
      </c>
      <c r="R67" s="20" t="inlineStr">
        <is>
          <t>—</t>
        </is>
      </c>
      <c r="S67" s="19" t="inlineStr"/>
    </row>
    <row r="68">
      <c r="A68" s="4" t="inlineStr">
        <is>
          <t>FTR-080</t>
        </is>
      </c>
      <c r="B68" s="4" t="inlineStr">
        <is>
          <t>Admin</t>
        </is>
      </c>
      <c r="C68" s="12" t="inlineStr">
        <is>
          <t>Dashboard</t>
        </is>
      </c>
      <c r="D68" s="13" t="inlineStr">
        <is>
          <t>Platform operations overview</t>
        </is>
      </c>
      <c r="E68" s="14" t="inlineStr">
        <is>
          <t>P2 — High</t>
        </is>
      </c>
      <c r="F68" s="14" t="inlineStr">
        <is>
          <t>Phase 1 — MVP</t>
        </is>
      </c>
      <c r="G68" s="14" t="inlineStr">
        <is>
          <t>In Progress</t>
        </is>
      </c>
      <c r="H68" s="14" t="inlineStr">
        <is>
          <t>Complete</t>
        </is>
      </c>
      <c r="I68" s="14" t="inlineStr">
        <is>
          <t>Not Started</t>
        </is>
      </c>
      <c r="J68" s="15">
        <f>IF(G68="Completed",100,IF(G68="Deferred",0,IF(G68="Cancelled",0,IF(G68="Not Started",0,IF(G68="On Hold",IF(OR(H68="Complete",H68="N/A"),50,25),ROUND((IF(H68="Complete",100,IF(H68="In Progress",50,IF(H68="Blocked",25,0)))+IF(I68="Complete",100,IF(I68="In Progress",50,IF(I68="Blocked",25,IF(I68="N/A",100,0)))))/2,0))))))</f>
        <v/>
      </c>
      <c r="K68" s="15">
        <f>IF(G68="Completed","Green",IF(G68="Deferred","Grey",IF(G68="Cancelled","Grey",IF(G68="On Hold","Red",IF(J68&gt;=80,"Green",IF(J68&gt;=40,"Amber","Red"))))))</f>
        <v/>
      </c>
      <c r="L68" s="14" t="inlineStr">
        <is>
          <t>Frontend Lead</t>
        </is>
      </c>
      <c r="M68" s="14" t="inlineStr">
        <is>
          <t>Engineering Manager</t>
        </is>
      </c>
      <c r="N68" s="16" t="n">
        <v>46113</v>
      </c>
      <c r="O68" s="16" t="n">
        <v>46174</v>
      </c>
      <c r="P68" s="16" t="n"/>
      <c r="Q68" s="16" t="n">
        <v>46170</v>
      </c>
      <c r="R68" s="14" t="inlineStr">
        <is>
          <t>—</t>
        </is>
      </c>
      <c r="S68" s="13" t="inlineStr"/>
    </row>
    <row r="69">
      <c r="A69" s="17" t="inlineStr">
        <is>
          <t>FTR-081</t>
        </is>
      </c>
      <c r="B69" s="17" t="inlineStr">
        <is>
          <t>Admin</t>
        </is>
      </c>
      <c r="C69" s="18" t="inlineStr">
        <is>
          <t>Tenant provisioning wizard</t>
        </is>
      </c>
      <c r="D69" s="19" t="inlineStr">
        <is>
          <t>Create tenant, tier, invite admin</t>
        </is>
      </c>
      <c r="E69" s="20" t="inlineStr">
        <is>
          <t>P2 — High</t>
        </is>
      </c>
      <c r="F69" s="20" t="inlineStr">
        <is>
          <t>Phase 1 — MVP</t>
        </is>
      </c>
      <c r="G69" s="20" t="inlineStr">
        <is>
          <t>In Progress</t>
        </is>
      </c>
      <c r="H69" s="20" t="inlineStr">
        <is>
          <t>Complete</t>
        </is>
      </c>
      <c r="I69" s="20" t="inlineStr">
        <is>
          <t>Not Started</t>
        </is>
      </c>
      <c r="J69" s="21">
        <f>IF(G69="Completed",100,IF(G69="Deferred",0,IF(G69="Cancelled",0,IF(G69="Not Started",0,IF(G69="On Hold",IF(OR(H69="Complete",H69="N/A"),50,25),ROUND((IF(H69="Complete",100,IF(H69="In Progress",50,IF(H69="Blocked",25,0)))+IF(I69="Complete",100,IF(I69="In Progress",50,IF(I69="Blocked",25,IF(I69="N/A",100,0)))))/2,0))))))</f>
        <v/>
      </c>
      <c r="K69" s="21">
        <f>IF(G69="Completed","Green",IF(G69="Deferred","Grey",IF(G69="Cancelled","Grey",IF(G69="On Hold","Red",IF(J69&gt;=80,"Green",IF(J69&gt;=40,"Amber","Red"))))))</f>
        <v/>
      </c>
      <c r="L69" s="20" t="inlineStr">
        <is>
          <t>Full Stack Developer</t>
        </is>
      </c>
      <c r="M69" s="20" t="inlineStr">
        <is>
          <t>Engineering Manager</t>
        </is>
      </c>
      <c r="N69" s="22" t="n">
        <v>46143</v>
      </c>
      <c r="O69" s="22" t="n">
        <v>46204</v>
      </c>
      <c r="P69" s="22" t="n"/>
      <c r="Q69" s="22" t="n">
        <v>46170</v>
      </c>
      <c r="R69" s="20" t="inlineStr">
        <is>
          <t>FTR-008</t>
        </is>
      </c>
      <c r="S69" s="19" t="inlineStr"/>
    </row>
    <row r="70">
      <c r="A70" s="4" t="inlineStr">
        <is>
          <t>FTR-082</t>
        </is>
      </c>
      <c r="B70" s="4" t="inlineStr">
        <is>
          <t>Admin</t>
        </is>
      </c>
      <c r="C70" s="12" t="inlineStr">
        <is>
          <t>Tenant subscription management</t>
        </is>
      </c>
      <c r="D70" s="13" t="inlineStr">
        <is>
          <t>Plan, usage, change history</t>
        </is>
      </c>
      <c r="E70" s="14" t="inlineStr">
        <is>
          <t>P2 — High</t>
        </is>
      </c>
      <c r="F70" s="14" t="inlineStr">
        <is>
          <t>Phase 1 — MVP</t>
        </is>
      </c>
      <c r="G70" s="14" t="inlineStr">
        <is>
          <t>In Progress</t>
        </is>
      </c>
      <c r="H70" s="14" t="inlineStr">
        <is>
          <t>Complete</t>
        </is>
      </c>
      <c r="I70" s="14" t="inlineStr">
        <is>
          <t>In Progress</t>
        </is>
      </c>
      <c r="J70" s="15">
        <f>IF(G70="Completed",100,IF(G70="Deferred",0,IF(G70="Cancelled",0,IF(G70="Not Started",0,IF(G70="On Hold",IF(OR(H70="Complete",H70="N/A"),50,25),ROUND((IF(H70="Complete",100,IF(H70="In Progress",50,IF(H70="Blocked",25,0)))+IF(I70="Complete",100,IF(I70="In Progress",50,IF(I70="Blocked",25,IF(I70="N/A",100,0)))))/2,0))))))</f>
        <v/>
      </c>
      <c r="K70" s="15">
        <f>IF(G70="Completed","Green",IF(G70="Deferred","Grey",IF(G70="Cancelled","Grey",IF(G70="On Hold","Red",IF(J70&gt;=80,"Green",IF(J70&gt;=40,"Amber","Red"))))))</f>
        <v/>
      </c>
      <c r="L70" s="14" t="inlineStr">
        <is>
          <t>Full Stack Developer</t>
        </is>
      </c>
      <c r="M70" s="14" t="inlineStr">
        <is>
          <t>Engineering Manager</t>
        </is>
      </c>
      <c r="N70" s="16" t="n">
        <v>46143</v>
      </c>
      <c r="O70" s="16" t="n">
        <v>46188</v>
      </c>
      <c r="P70" s="16" t="n"/>
      <c r="Q70" s="16" t="n">
        <v>46170</v>
      </c>
      <c r="R70" s="14" t="inlineStr">
        <is>
          <t>FTR-016</t>
        </is>
      </c>
      <c r="S70" s="13" t="inlineStr"/>
    </row>
    <row r="71">
      <c r="A71" s="17" t="inlineStr">
        <is>
          <t>FTR-083</t>
        </is>
      </c>
      <c r="B71" s="17" t="inlineStr">
        <is>
          <t>Admin</t>
        </is>
      </c>
      <c r="C71" s="18" t="inlineStr">
        <is>
          <t>User management</t>
        </is>
      </c>
      <c r="D71" s="19" t="inlineStr">
        <is>
          <t>Roles, invitations, directory</t>
        </is>
      </c>
      <c r="E71" s="20" t="inlineStr">
        <is>
          <t>P2 — High</t>
        </is>
      </c>
      <c r="F71" s="20" t="inlineStr">
        <is>
          <t>Phase 1 — MVP</t>
        </is>
      </c>
      <c r="G71" s="20" t="inlineStr">
        <is>
          <t>In Progress</t>
        </is>
      </c>
      <c r="H71" s="20" t="inlineStr">
        <is>
          <t>Complete</t>
        </is>
      </c>
      <c r="I71" s="20" t="inlineStr">
        <is>
          <t>Not Started</t>
        </is>
      </c>
      <c r="J71" s="21">
        <f>IF(G71="Completed",100,IF(G71="Deferred",0,IF(G71="Cancelled",0,IF(G71="Not Started",0,IF(G71="On Hold",IF(OR(H71="Complete",H71="N/A"),50,25),ROUND((IF(H71="Complete",100,IF(H71="In Progress",50,IF(H71="Blocked",25,0)))+IF(I71="Complete",100,IF(I71="In Progress",50,IF(I71="Blocked",25,IF(I71="N/A",100,0)))))/2,0))))))</f>
        <v/>
      </c>
      <c r="K71" s="21">
        <f>IF(G71="Completed","Green",IF(G71="Deferred","Grey",IF(G71="Cancelled","Grey",IF(G71="On Hold","Red",IF(J71&gt;=80,"Green",IF(J71&gt;=40,"Amber","Red"))))))</f>
        <v/>
      </c>
      <c r="L71" s="20" t="inlineStr">
        <is>
          <t>Full Stack Developer</t>
        </is>
      </c>
      <c r="M71" s="20" t="inlineStr">
        <is>
          <t>Engineering Manager</t>
        </is>
      </c>
      <c r="N71" s="22" t="n">
        <v>46143</v>
      </c>
      <c r="O71" s="22" t="n">
        <v>46204</v>
      </c>
      <c r="P71" s="22" t="n"/>
      <c r="Q71" s="22" t="n">
        <v>46170</v>
      </c>
      <c r="R71" s="20" t="inlineStr">
        <is>
          <t>FTR-007</t>
        </is>
      </c>
      <c r="S71" s="19" t="inlineStr"/>
    </row>
    <row r="72">
      <c r="A72" s="4" t="inlineStr">
        <is>
          <t>FTR-084</t>
        </is>
      </c>
      <c r="B72" s="4" t="inlineStr">
        <is>
          <t>Admin</t>
        </is>
      </c>
      <c r="C72" s="12" t="inlineStr">
        <is>
          <t>Email template editor</t>
        </is>
      </c>
      <c r="D72" s="13" t="inlineStr">
        <is>
          <t>SOW, OTP, invite templates</t>
        </is>
      </c>
      <c r="E72" s="14" t="inlineStr">
        <is>
          <t>P3 — Medium</t>
        </is>
      </c>
      <c r="F72" s="14" t="inlineStr">
        <is>
          <t>Phase 1 — MVP</t>
        </is>
      </c>
      <c r="G72" s="14" t="inlineStr">
        <is>
          <t>In Progress</t>
        </is>
      </c>
      <c r="H72" s="14" t="inlineStr">
        <is>
          <t>Complete</t>
        </is>
      </c>
      <c r="I72" s="14" t="inlineStr">
        <is>
          <t>Not Started</t>
        </is>
      </c>
      <c r="J72" s="15">
        <f>IF(G72="Completed",100,IF(G72="Deferred",0,IF(G72="Cancelled",0,IF(G72="Not Started",0,IF(G72="On Hold",IF(OR(H72="Complete",H72="N/A"),50,25),ROUND((IF(H72="Complete",100,IF(H72="In Progress",50,IF(H72="Blocked",25,0)))+IF(I72="Complete",100,IF(I72="In Progress",50,IF(I72="Blocked",25,IF(I72="N/A",100,0)))))/2,0))))))</f>
        <v/>
      </c>
      <c r="K72" s="15">
        <f>IF(G72="Completed","Green",IF(G72="Deferred","Grey",IF(G72="Cancelled","Grey",IF(G72="On Hold","Red",IF(J72&gt;=80,"Green",IF(J72&gt;=40,"Amber","Red"))))))</f>
        <v/>
      </c>
      <c r="L72" s="14" t="inlineStr">
        <is>
          <t>Frontend Lead</t>
        </is>
      </c>
      <c r="M72" s="14" t="inlineStr">
        <is>
          <t>Engineering Manager</t>
        </is>
      </c>
      <c r="N72" s="16" t="n">
        <v>46157</v>
      </c>
      <c r="O72" s="16" t="n">
        <v>46204</v>
      </c>
      <c r="P72" s="16" t="n"/>
      <c r="Q72" s="16" t="n">
        <v>46170</v>
      </c>
      <c r="R72" s="14" t="inlineStr">
        <is>
          <t>FTR-011</t>
        </is>
      </c>
      <c r="S72" s="13" t="inlineStr"/>
    </row>
    <row r="73">
      <c r="A73" s="17" t="inlineStr">
        <is>
          <t>FTR-085</t>
        </is>
      </c>
      <c r="B73" s="17" t="inlineStr">
        <is>
          <t>Admin</t>
        </is>
      </c>
      <c r="C73" s="18" t="inlineStr">
        <is>
          <t>Platform pricing config</t>
        </is>
      </c>
      <c r="D73" s="19" t="inlineStr">
        <is>
          <t>Contributor rate tables by segment</t>
        </is>
      </c>
      <c r="E73" s="20" t="inlineStr">
        <is>
          <t>P3 — Medium</t>
        </is>
      </c>
      <c r="F73" s="20" t="inlineStr">
        <is>
          <t>Phase 1 — MVP</t>
        </is>
      </c>
      <c r="G73" s="20" t="inlineStr">
        <is>
          <t>In Progress</t>
        </is>
      </c>
      <c r="H73" s="20" t="inlineStr">
        <is>
          <t>Complete</t>
        </is>
      </c>
      <c r="I73" s="20" t="inlineStr">
        <is>
          <t>In Progress</t>
        </is>
      </c>
      <c r="J73" s="21">
        <f>IF(G73="Completed",100,IF(G73="Deferred",0,IF(G73="Cancelled",0,IF(G73="Not Started",0,IF(G73="On Hold",IF(OR(H73="Complete",H73="N/A"),50,25),ROUND((IF(H73="Complete",100,IF(H73="In Progress",50,IF(H73="Blocked",25,0)))+IF(I73="Complete",100,IF(I73="In Progress",50,IF(I73="Blocked",25,IF(I73="N/A",100,0)))))/2,0))))))</f>
        <v/>
      </c>
      <c r="K73" s="21">
        <f>IF(G73="Completed","Green",IF(G73="Deferred","Grey",IF(G73="Cancelled","Grey",IF(G73="On Hold","Red",IF(J73&gt;=80,"Green",IF(J73&gt;=40,"Amber","Red"))))))</f>
        <v/>
      </c>
      <c r="L73" s="20" t="inlineStr">
        <is>
          <t>Full Stack Developer</t>
        </is>
      </c>
      <c r="M73" s="20" t="inlineStr">
        <is>
          <t>Engineering Manager</t>
        </is>
      </c>
      <c r="N73" s="22" t="n">
        <v>46143</v>
      </c>
      <c r="O73" s="22" t="n">
        <v>46188</v>
      </c>
      <c r="P73" s="22" t="n"/>
      <c r="Q73" s="22" t="n">
        <v>46170</v>
      </c>
      <c r="R73" s="20" t="inlineStr">
        <is>
          <t>—</t>
        </is>
      </c>
      <c r="S73" s="19" t="inlineStr"/>
    </row>
    <row r="74">
      <c r="A74" s="4" t="inlineStr">
        <is>
          <t>FTR-086</t>
        </is>
      </c>
      <c r="B74" s="4" t="inlineStr">
        <is>
          <t>Admin</t>
        </is>
      </c>
      <c r="C74" s="12" t="inlineStr">
        <is>
          <t>SOW oversight</t>
        </is>
      </c>
      <c r="D74" s="13" t="inlineStr">
        <is>
          <t>Cross-tenant commercial sign-off</t>
        </is>
      </c>
      <c r="E74" s="14" t="inlineStr">
        <is>
          <t>P2 — High</t>
        </is>
      </c>
      <c r="F74" s="14" t="inlineStr">
        <is>
          <t>Phase 1 — MVP</t>
        </is>
      </c>
      <c r="G74" s="14" t="inlineStr">
        <is>
          <t>In Progress</t>
        </is>
      </c>
      <c r="H74" s="14" t="inlineStr">
        <is>
          <t>Complete</t>
        </is>
      </c>
      <c r="I74" s="14" t="inlineStr">
        <is>
          <t>Not Started</t>
        </is>
      </c>
      <c r="J74" s="15">
        <f>IF(G74="Completed",100,IF(G74="Deferred",0,IF(G74="Cancelled",0,IF(G74="Not Started",0,IF(G74="On Hold",IF(OR(H74="Complete",H74="N/A"),50,25),ROUND((IF(H74="Complete",100,IF(H74="In Progress",50,IF(H74="Blocked",25,0)))+IF(I74="Complete",100,IF(I74="In Progress",50,IF(I74="Blocked",25,IF(I74="N/A",100,0)))))/2,0))))))</f>
        <v/>
      </c>
      <c r="K74" s="15">
        <f>IF(G74="Completed","Green",IF(G74="Deferred","Grey",IF(G74="Cancelled","Grey",IF(G74="On Hold","Red",IF(J74&gt;=80,"Green",IF(J74&gt;=40,"Amber","Red"))))))</f>
        <v/>
      </c>
      <c r="L74" s="14" t="inlineStr">
        <is>
          <t>Frontend Lead</t>
        </is>
      </c>
      <c r="M74" s="14" t="inlineStr">
        <is>
          <t>Engineering Manager</t>
        </is>
      </c>
      <c r="N74" s="16" t="n">
        <v>46143</v>
      </c>
      <c r="O74" s="16" t="n">
        <v>46204</v>
      </c>
      <c r="P74" s="16" t="n"/>
      <c r="Q74" s="16" t="n">
        <v>46170</v>
      </c>
      <c r="R74" s="14" t="inlineStr">
        <is>
          <t>FTR-041</t>
        </is>
      </c>
      <c r="S74" s="13" t="inlineStr"/>
    </row>
    <row r="75">
      <c r="A75" s="17" t="inlineStr">
        <is>
          <t>FTR-087</t>
        </is>
      </c>
      <c r="B75" s="17" t="inlineStr">
        <is>
          <t>Admin</t>
        </is>
      </c>
      <c r="C75" s="18" t="inlineStr">
        <is>
          <t>KYC review queue</t>
        </is>
      </c>
      <c r="D75" s="19" t="inlineStr">
        <is>
          <t>Contributor onboarding case review</t>
        </is>
      </c>
      <c r="E75" s="20" t="inlineStr">
        <is>
          <t>P2 — High</t>
        </is>
      </c>
      <c r="F75" s="20" t="inlineStr">
        <is>
          <t>Phase 1 — MVP</t>
        </is>
      </c>
      <c r="G75" s="20" t="inlineStr">
        <is>
          <t>In Progress</t>
        </is>
      </c>
      <c r="H75" s="20" t="inlineStr">
        <is>
          <t>Complete</t>
        </is>
      </c>
      <c r="I75" s="20" t="inlineStr">
        <is>
          <t>Not Started</t>
        </is>
      </c>
      <c r="J75" s="21">
        <f>IF(G75="Completed",100,IF(G75="Deferred",0,IF(G75="Cancelled",0,IF(G75="Not Started",0,IF(G75="On Hold",IF(OR(H75="Complete",H75="N/A"),50,25),ROUND((IF(H75="Complete",100,IF(H75="In Progress",50,IF(H75="Blocked",25,0)))+IF(I75="Complete",100,IF(I75="In Progress",50,IF(I75="Blocked",25,IF(I75="N/A",100,0)))))/2,0))))))</f>
        <v/>
      </c>
      <c r="K75" s="21">
        <f>IF(G75="Completed","Green",IF(G75="Deferred","Grey",IF(G75="Cancelled","Grey",IF(G75="On Hold","Red",IF(J75&gt;=80,"Green",IF(J75&gt;=40,"Amber","Red"))))))</f>
        <v/>
      </c>
      <c r="L75" s="20" t="inlineStr">
        <is>
          <t>Full Stack Developer</t>
        </is>
      </c>
      <c r="M75" s="20" t="inlineStr">
        <is>
          <t>Engineering Manager</t>
        </is>
      </c>
      <c r="N75" s="22" t="n">
        <v>46157</v>
      </c>
      <c r="O75" s="22" t="n">
        <v>46204</v>
      </c>
      <c r="P75" s="22" t="n"/>
      <c r="Q75" s="22" t="n">
        <v>46170</v>
      </c>
      <c r="R75" s="20" t="inlineStr">
        <is>
          <t>FTR-024</t>
        </is>
      </c>
      <c r="S75" s="19" t="inlineStr"/>
    </row>
    <row r="76">
      <c r="A76" s="4" t="inlineStr">
        <is>
          <t>FTR-088</t>
        </is>
      </c>
      <c r="B76" s="4" t="inlineStr">
        <is>
          <t>Admin</t>
        </is>
      </c>
      <c r="C76" s="12" t="inlineStr">
        <is>
          <t>Governance &amp; safety reports</t>
        </is>
      </c>
      <c r="D76" s="13" t="inlineStr">
        <is>
          <t>Platform-wide triage</t>
        </is>
      </c>
      <c r="E76" s="14" t="inlineStr">
        <is>
          <t>P4 — Low</t>
        </is>
      </c>
      <c r="F76" s="14" t="inlineStr">
        <is>
          <t>Phase 2</t>
        </is>
      </c>
      <c r="G76" s="14" t="inlineStr">
        <is>
          <t>Deferred</t>
        </is>
      </c>
      <c r="H76" s="14" t="inlineStr">
        <is>
          <t>In Progress</t>
        </is>
      </c>
      <c r="I76" s="14" t="inlineStr">
        <is>
          <t>Not Started</t>
        </is>
      </c>
      <c r="J76" s="15">
        <f>IF(G76="Completed",100,IF(G76="Deferred",0,IF(G76="Cancelled",0,IF(G76="Not Started",0,IF(G76="On Hold",IF(OR(H76="Complete",H76="N/A"),50,25),ROUND((IF(H76="Complete",100,IF(H76="In Progress",50,IF(H76="Blocked",25,0)))+IF(I76="Complete",100,IF(I76="In Progress",50,IF(I76="Blocked",25,IF(I76="N/A",100,0)))))/2,0))))))</f>
        <v/>
      </c>
      <c r="K76" s="15">
        <f>IF(G76="Completed","Green",IF(G76="Deferred","Grey",IF(G76="Cancelled","Grey",IF(G76="On Hold","Red",IF(J76&gt;=80,"Green",IF(J76&gt;=40,"Amber","Red"))))))</f>
        <v/>
      </c>
      <c r="L76" s="14" t="inlineStr">
        <is>
          <t>Unassigned</t>
        </is>
      </c>
      <c r="M76" s="14" t="inlineStr">
        <is>
          <t>Engineering Manager</t>
        </is>
      </c>
      <c r="N76" s="16" t="n"/>
      <c r="O76" s="16" t="n">
        <v>46266</v>
      </c>
      <c r="P76" s="16" t="n"/>
      <c r="Q76" s="16" t="n">
        <v>46170</v>
      </c>
      <c r="R76" s="14" t="inlineStr">
        <is>
          <t>—</t>
        </is>
      </c>
      <c r="S76" s="13" t="inlineStr"/>
    </row>
    <row r="77">
      <c r="A77" s="17" t="inlineStr">
        <is>
          <t>FTR-090</t>
        </is>
      </c>
      <c r="B77" s="17" t="inlineStr">
        <is>
          <t>Backend</t>
        </is>
      </c>
      <c r="C77" s="18" t="inlineStr">
        <is>
          <t>Task persistence (Postgres)</t>
        </is>
      </c>
      <c r="D77" s="19" t="inlineStr">
        <is>
          <t>Migrate task store from localStorage</t>
        </is>
      </c>
      <c r="E77" s="20" t="inlineStr">
        <is>
          <t>P1 — Critical</t>
        </is>
      </c>
      <c r="F77" s="20" t="inlineStr">
        <is>
          <t>Phase 1 — Hardening</t>
        </is>
      </c>
      <c r="G77" s="20" t="inlineStr">
        <is>
          <t>Not Started</t>
        </is>
      </c>
      <c r="H77" s="20" t="inlineStr">
        <is>
          <t>N/A</t>
        </is>
      </c>
      <c r="I77" s="20" t="inlineStr">
        <is>
          <t>Not Started</t>
        </is>
      </c>
      <c r="J77" s="21">
        <f>IF(G77="Completed",100,IF(G77="Deferred",0,IF(G77="Cancelled",0,IF(G77="Not Started",0,IF(G77="On Hold",IF(OR(H77="Complete",H77="N/A"),50,25),ROUND((IF(H77="Complete",100,IF(H77="In Progress",50,IF(H77="Blocked",25,0)))+IF(I77="Complete",100,IF(I77="In Progress",50,IF(I77="Blocked",25,IF(I77="N/A",100,0)))))/2,0))))))</f>
        <v/>
      </c>
      <c r="K77" s="21">
        <f>IF(G77="Completed","Green",IF(G77="Deferred","Grey",IF(G77="Cancelled","Grey",IF(G77="On Hold","Red",IF(J77&gt;=80,"Green",IF(J77&gt;=40,"Amber","Red"))))))</f>
        <v/>
      </c>
      <c r="L77" s="20" t="inlineStr">
        <is>
          <t>Backend Lead</t>
        </is>
      </c>
      <c r="M77" s="20" t="inlineStr">
        <is>
          <t>Engineering Manager</t>
        </is>
      </c>
      <c r="N77" s="22" t="n">
        <v>46174</v>
      </c>
      <c r="O77" s="22" t="n">
        <v>46218</v>
      </c>
      <c r="P77" s="22" t="n"/>
      <c r="Q77" s="22" t="n">
        <v>46170</v>
      </c>
      <c r="R77" s="20" t="inlineStr">
        <is>
          <t>FTR-008</t>
        </is>
      </c>
      <c r="S77" s="19" t="inlineStr">
        <is>
          <t>Slice 5 — prod blocker</t>
        </is>
      </c>
    </row>
    <row r="78">
      <c r="A78" s="4" t="inlineStr">
        <is>
          <t>FTR-091</t>
        </is>
      </c>
      <c r="B78" s="4" t="inlineStr">
        <is>
          <t>Backend</t>
        </is>
      </c>
      <c r="C78" s="12" t="inlineStr">
        <is>
          <t>SOW / project / decomposition APIs</t>
        </is>
      </c>
      <c r="D78" s="13" t="inlineStr">
        <is>
          <t>Prisma models and CRUD endpoints</t>
        </is>
      </c>
      <c r="E78" s="14" t="inlineStr">
        <is>
          <t>P1 — Critical</t>
        </is>
      </c>
      <c r="F78" s="14" t="inlineStr">
        <is>
          <t>Phase 1 — Hardening</t>
        </is>
      </c>
      <c r="G78" s="14" t="inlineStr">
        <is>
          <t>In Progress</t>
        </is>
      </c>
      <c r="H78" s="14" t="inlineStr">
        <is>
          <t>N/A</t>
        </is>
      </c>
      <c r="I78" s="14" t="inlineStr">
        <is>
          <t>In Progress</t>
        </is>
      </c>
      <c r="J78" s="15">
        <f>IF(G78="Completed",100,IF(G78="Deferred",0,IF(G78="Cancelled",0,IF(G78="Not Started",0,IF(G78="On Hold",IF(OR(H78="Complete",H78="N/A"),50,25),ROUND((IF(H78="Complete",100,IF(H78="In Progress",50,IF(H78="Blocked",25,0)))+IF(I78="Complete",100,IF(I78="In Progress",50,IF(I78="Blocked",25,IF(I78="N/A",100,0)))))/2,0))))))</f>
        <v/>
      </c>
      <c r="K78" s="15">
        <f>IF(G78="Completed","Green",IF(G78="Deferred","Grey",IF(G78="Cancelled","Grey",IF(G78="On Hold","Red",IF(J78&gt;=80,"Green",IF(J78&gt;=40,"Amber","Red"))))))</f>
        <v/>
      </c>
      <c r="L78" s="14" t="inlineStr">
        <is>
          <t>Backend Lead</t>
        </is>
      </c>
      <c r="M78" s="14" t="inlineStr">
        <is>
          <t>Engineering Manager</t>
        </is>
      </c>
      <c r="N78" s="16" t="n">
        <v>46157</v>
      </c>
      <c r="O78" s="16" t="n">
        <v>46233</v>
      </c>
      <c r="P78" s="16" t="n"/>
      <c r="Q78" s="16" t="n">
        <v>46170</v>
      </c>
      <c r="R78" s="14" t="inlineStr">
        <is>
          <t>FTR-008</t>
        </is>
      </c>
      <c r="S78" s="13" t="inlineStr"/>
    </row>
    <row r="79">
      <c r="A79" s="17" t="inlineStr">
        <is>
          <t>FTR-092</t>
        </is>
      </c>
      <c r="B79" s="17" t="inlineStr">
        <is>
          <t>Backend</t>
        </is>
      </c>
      <c r="C79" s="18" t="inlineStr">
        <is>
          <t>Mentor decision persistence</t>
        </is>
      </c>
      <c r="D79" s="19" t="inlineStr">
        <is>
          <t>Persist approve / rework to database</t>
        </is>
      </c>
      <c r="E79" s="20" t="inlineStr">
        <is>
          <t>P1 — Critical</t>
        </is>
      </c>
      <c r="F79" s="20" t="inlineStr">
        <is>
          <t>Phase 1 — Hardening</t>
        </is>
      </c>
      <c r="G79" s="20" t="inlineStr">
        <is>
          <t>Not Started</t>
        </is>
      </c>
      <c r="H79" s="20" t="inlineStr">
        <is>
          <t>N/A</t>
        </is>
      </c>
      <c r="I79" s="20" t="inlineStr">
        <is>
          <t>Not Started</t>
        </is>
      </c>
      <c r="J79" s="21">
        <f>IF(G79="Completed",100,IF(G79="Deferred",0,IF(G79="Cancelled",0,IF(G79="Not Started",0,IF(G79="On Hold",IF(OR(H79="Complete",H79="N/A"),50,25),ROUND((IF(H79="Complete",100,IF(H79="In Progress",50,IF(H79="Blocked",25,0)))+IF(I79="Complete",100,IF(I79="In Progress",50,IF(I79="Blocked",25,IF(I79="N/A",100,0)))))/2,0))))))</f>
        <v/>
      </c>
      <c r="K79" s="21">
        <f>IF(G79="Completed","Green",IF(G79="Deferred","Grey",IF(G79="Cancelled","Grey",IF(G79="On Hold","Red",IF(J79&gt;=80,"Green",IF(J79&gt;=40,"Amber","Red"))))))</f>
        <v/>
      </c>
      <c r="L79" s="20" t="inlineStr">
        <is>
          <t>Backend Lead</t>
        </is>
      </c>
      <c r="M79" s="20" t="inlineStr">
        <is>
          <t>Engineering Manager</t>
        </is>
      </c>
      <c r="N79" s="22" t="n">
        <v>46174</v>
      </c>
      <c r="O79" s="22" t="n">
        <v>46218</v>
      </c>
      <c r="P79" s="22" t="n"/>
      <c r="Q79" s="22" t="n">
        <v>46170</v>
      </c>
      <c r="R79" s="20" t="inlineStr">
        <is>
          <t>FTR-090</t>
        </is>
      </c>
      <c r="S79" s="19" t="inlineStr"/>
    </row>
    <row r="80">
      <c r="A80" s="4" t="inlineStr">
        <is>
          <t>FTR-093</t>
        </is>
      </c>
      <c r="B80" s="4" t="inlineStr">
        <is>
          <t>Backend</t>
        </is>
      </c>
      <c r="C80" s="12" t="inlineStr">
        <is>
          <t>Settings &amp; preferences API</t>
        </is>
      </c>
      <c r="D80" s="13" t="inlineStr">
        <is>
          <t>OperatorPreferences model + endpoints</t>
        </is>
      </c>
      <c r="E80" s="14" t="inlineStr">
        <is>
          <t>P2 — High</t>
        </is>
      </c>
      <c r="F80" s="14" t="inlineStr">
        <is>
          <t>Phase 1 — Hardening</t>
        </is>
      </c>
      <c r="G80" s="14" t="inlineStr">
        <is>
          <t>Not Started</t>
        </is>
      </c>
      <c r="H80" s="14" t="inlineStr">
        <is>
          <t>N/A</t>
        </is>
      </c>
      <c r="I80" s="14" t="inlineStr">
        <is>
          <t>Not Started</t>
        </is>
      </c>
      <c r="J80" s="15">
        <f>IF(G80="Completed",100,IF(G80="Deferred",0,IF(G80="Cancelled",0,IF(G80="Not Started",0,IF(G80="On Hold",IF(OR(H80="Complete",H80="N/A"),50,25),ROUND((IF(H80="Complete",100,IF(H80="In Progress",50,IF(H80="Blocked",25,0)))+IF(I80="Complete",100,IF(I80="In Progress",50,IF(I80="Blocked",25,IF(I80="N/A",100,0)))))/2,0))))))</f>
        <v/>
      </c>
      <c r="K80" s="15">
        <f>IF(G80="Completed","Green",IF(G80="Deferred","Grey",IF(G80="Cancelled","Grey",IF(G80="On Hold","Red",IF(J80&gt;=80,"Green",IF(J80&gt;=40,"Amber","Red"))))))</f>
        <v/>
      </c>
      <c r="L80" s="14" t="inlineStr">
        <is>
          <t>Backend Lead</t>
        </is>
      </c>
      <c r="M80" s="14" t="inlineStr">
        <is>
          <t>Engineering Manager</t>
        </is>
      </c>
      <c r="N80" s="16" t="n">
        <v>46188</v>
      </c>
      <c r="O80" s="16" t="n">
        <v>46204</v>
      </c>
      <c r="P80" s="16" t="n"/>
      <c r="Q80" s="16" t="n">
        <v>46170</v>
      </c>
      <c r="R80" s="14" t="inlineStr">
        <is>
          <t>FTR-008</t>
        </is>
      </c>
      <c r="S80" s="13" t="inlineStr"/>
    </row>
    <row r="81">
      <c r="A81" s="17" t="inlineStr">
        <is>
          <t>FTR-094</t>
        </is>
      </c>
      <c r="B81" s="17" t="inlineStr">
        <is>
          <t>Backend</t>
        </is>
      </c>
      <c r="C81" s="18" t="inlineStr">
        <is>
          <t>Workforce API (production)</t>
        </is>
      </c>
      <c r="D81" s="19" t="inlineStr">
        <is>
          <t>Wire workforce routes to Prisma</t>
        </is>
      </c>
      <c r="E81" s="20" t="inlineStr">
        <is>
          <t>P2 — High</t>
        </is>
      </c>
      <c r="F81" s="20" t="inlineStr">
        <is>
          <t>Phase 1 — Hardening</t>
        </is>
      </c>
      <c r="G81" s="20" t="inlineStr">
        <is>
          <t>In Progress</t>
        </is>
      </c>
      <c r="H81" s="20" t="inlineStr">
        <is>
          <t>N/A</t>
        </is>
      </c>
      <c r="I81" s="20" t="inlineStr">
        <is>
          <t>In Progress</t>
        </is>
      </c>
      <c r="J81" s="21">
        <f>IF(G81="Completed",100,IF(G81="Deferred",0,IF(G81="Cancelled",0,IF(G81="Not Started",0,IF(G81="On Hold",IF(OR(H81="Complete",H81="N/A"),50,25),ROUND((IF(H81="Complete",100,IF(H81="In Progress",50,IF(H81="Blocked",25,0)))+IF(I81="Complete",100,IF(I81="In Progress",50,IF(I81="Blocked",25,IF(I81="N/A",100,0)))))/2,0))))))</f>
        <v/>
      </c>
      <c r="K81" s="21">
        <f>IF(G81="Completed","Green",IF(G81="Deferred","Grey",IF(G81="Cancelled","Grey",IF(G81="On Hold","Red",IF(J81&gt;=80,"Green",IF(J81&gt;=40,"Amber","Red"))))))</f>
        <v/>
      </c>
      <c r="L81" s="20" t="inlineStr">
        <is>
          <t>Backend Lead</t>
        </is>
      </c>
      <c r="M81" s="20" t="inlineStr">
        <is>
          <t>Engineering Manager</t>
        </is>
      </c>
      <c r="N81" s="22" t="n">
        <v>46157</v>
      </c>
      <c r="O81" s="22" t="n">
        <v>46204</v>
      </c>
      <c r="P81" s="22" t="n"/>
      <c r="Q81" s="22" t="n">
        <v>46170</v>
      </c>
      <c r="R81" s="20" t="inlineStr">
        <is>
          <t>FTR-051</t>
        </is>
      </c>
      <c r="S81" s="19" t="inlineStr"/>
    </row>
    <row r="82">
      <c r="A82" s="4" t="inlineStr">
        <is>
          <t>FTR-095</t>
        </is>
      </c>
      <c r="B82" s="4" t="inlineStr">
        <is>
          <t>Backend</t>
        </is>
      </c>
      <c r="C82" s="12" t="inlineStr">
        <is>
          <t>Enterprise SSO / HRIS</t>
        </is>
      </c>
      <c r="D82" s="13" t="inlineStr">
        <is>
          <t>SAML, OIDC; CSV import path</t>
        </is>
      </c>
      <c r="E82" s="14" t="inlineStr">
        <is>
          <t>P2 — High</t>
        </is>
      </c>
      <c r="F82" s="14" t="inlineStr">
        <is>
          <t>Phase 1 — Hardening</t>
        </is>
      </c>
      <c r="G82" s="14" t="inlineStr">
        <is>
          <t>Not Started</t>
        </is>
      </c>
      <c r="H82" s="14" t="inlineStr">
        <is>
          <t>In Progress</t>
        </is>
      </c>
      <c r="I82" s="14" t="inlineStr">
        <is>
          <t>Not Started</t>
        </is>
      </c>
      <c r="J82" s="15">
        <f>IF(G82="Completed",100,IF(G82="Deferred",0,IF(G82="Cancelled",0,IF(G82="Not Started",0,IF(G82="On Hold",IF(OR(H82="Complete",H82="N/A"),50,25),ROUND((IF(H82="Complete",100,IF(H82="In Progress",50,IF(H82="Blocked",25,0)))+IF(I82="Complete",100,IF(I82="In Progress",50,IF(I82="Blocked",25,IF(I82="N/A",100,0)))))/2,0))))))</f>
        <v/>
      </c>
      <c r="K82" s="15">
        <f>IF(G82="Completed","Green",IF(G82="Deferred","Grey",IF(G82="Cancelled","Grey",IF(G82="On Hold","Red",IF(J82&gt;=80,"Green",IF(J82&gt;=40,"Amber","Red"))))))</f>
        <v/>
      </c>
      <c r="L82" s="14" t="inlineStr">
        <is>
          <t>Integrations Lead</t>
        </is>
      </c>
      <c r="M82" s="14" t="inlineStr">
        <is>
          <t>Engineering Manager</t>
        </is>
      </c>
      <c r="N82" s="16" t="n">
        <v>46174</v>
      </c>
      <c r="O82" s="16" t="n">
        <v>46235</v>
      </c>
      <c r="P82" s="16" t="n"/>
      <c r="Q82" s="16" t="n">
        <v>46170</v>
      </c>
      <c r="R82" s="14" t="inlineStr">
        <is>
          <t>FTR-003</t>
        </is>
      </c>
      <c r="S82" s="13" t="inlineStr"/>
    </row>
    <row r="83">
      <c r="A83" s="17" t="inlineStr">
        <is>
          <t>FTR-096</t>
        </is>
      </c>
      <c r="B83" s="17" t="inlineStr">
        <is>
          <t>Backend</t>
        </is>
      </c>
      <c r="C83" s="18" t="inlineStr">
        <is>
          <t>Outbound webhooks</t>
        </is>
      </c>
      <c r="D83" s="19" t="inlineStr">
        <is>
          <t>Jira, Slack, generic connectors</t>
        </is>
      </c>
      <c r="E83" s="20" t="inlineStr">
        <is>
          <t>P3 — Medium</t>
        </is>
      </c>
      <c r="F83" s="20" t="inlineStr">
        <is>
          <t>Phase 2</t>
        </is>
      </c>
      <c r="G83" s="20" t="inlineStr">
        <is>
          <t>Not Started</t>
        </is>
      </c>
      <c r="H83" s="20" t="inlineStr">
        <is>
          <t>N/A</t>
        </is>
      </c>
      <c r="I83" s="20" t="inlineStr">
        <is>
          <t>Not Started</t>
        </is>
      </c>
      <c r="J83" s="21">
        <f>IF(G83="Completed",100,IF(G83="Deferred",0,IF(G83="Cancelled",0,IF(G83="Not Started",0,IF(G83="On Hold",IF(OR(H83="Complete",H83="N/A"),50,25),ROUND((IF(H83="Complete",100,IF(H83="In Progress",50,IF(H83="Blocked",25,0)))+IF(I83="Complete",100,IF(I83="In Progress",50,IF(I83="Blocked",25,IF(I83="N/A",100,0)))))/2,0))))))</f>
        <v/>
      </c>
      <c r="K83" s="21">
        <f>IF(G83="Completed","Green",IF(G83="Deferred","Grey",IF(G83="Cancelled","Grey",IF(G83="On Hold","Red",IF(J83&gt;=80,"Green",IF(J83&gt;=40,"Amber","Red"))))))</f>
        <v/>
      </c>
      <c r="L83" s="20" t="inlineStr">
        <is>
          <t>Integrations Lead</t>
        </is>
      </c>
      <c r="M83" s="20" t="inlineStr">
        <is>
          <t>Engineering Manager</t>
        </is>
      </c>
      <c r="N83" s="22" t="n">
        <v>46204</v>
      </c>
      <c r="O83" s="22" t="n">
        <v>46249</v>
      </c>
      <c r="P83" s="22" t="n"/>
      <c r="Q83" s="22" t="n">
        <v>46170</v>
      </c>
      <c r="R83" s="20" t="inlineStr">
        <is>
          <t>—</t>
        </is>
      </c>
      <c r="S83" s="19" t="inlineStr"/>
    </row>
    <row r="84">
      <c r="A84" s="4" t="inlineStr">
        <is>
          <t>FTR-097</t>
        </is>
      </c>
      <c r="B84" s="4" t="inlineStr">
        <is>
          <t>Backend</t>
        </is>
      </c>
      <c r="C84" s="12" t="inlineStr">
        <is>
          <t>Assistive AI agents</t>
        </is>
      </c>
      <c r="D84" s="13" t="inlineStr">
        <is>
          <t>SOW intake, decomposition, review AI</t>
        </is>
      </c>
      <c r="E84" s="14" t="inlineStr">
        <is>
          <t>P2 — High</t>
        </is>
      </c>
      <c r="F84" s="14" t="inlineStr">
        <is>
          <t>Phase 1 — Hardening</t>
        </is>
      </c>
      <c r="G84" s="14" t="inlineStr">
        <is>
          <t>In Progress</t>
        </is>
      </c>
      <c r="H84" s="14" t="inlineStr">
        <is>
          <t>In Progress</t>
        </is>
      </c>
      <c r="I84" s="14" t="inlineStr">
        <is>
          <t>In Progress</t>
        </is>
      </c>
      <c r="J84" s="15">
        <f>IF(G84="Completed",100,IF(G84="Deferred",0,IF(G84="Cancelled",0,IF(G84="Not Started",0,IF(G84="On Hold",IF(OR(H84="Complete",H84="N/A"),50,25),ROUND((IF(H84="Complete",100,IF(H84="In Progress",50,IF(H84="Blocked",25,0)))+IF(I84="Complete",100,IF(I84="In Progress",50,IF(I84="Blocked",25,IF(I84="N/A",100,0)))))/2,0))))))</f>
        <v/>
      </c>
      <c r="K84" s="15">
        <f>IF(G84="Completed","Green",IF(G84="Deferred","Grey",IF(G84="Cancelled","Grey",IF(G84="On Hold","Red",IF(J84&gt;=80,"Green",IF(J84&gt;=40,"Amber","Red"))))))</f>
        <v/>
      </c>
      <c r="L84" s="14" t="inlineStr">
        <is>
          <t>AI / ML Engineer</t>
        </is>
      </c>
      <c r="M84" s="14" t="inlineStr">
        <is>
          <t>Engineering Manager</t>
        </is>
      </c>
      <c r="N84" s="16" t="n">
        <v>46143</v>
      </c>
      <c r="O84" s="16" t="n">
        <v>46235</v>
      </c>
      <c r="P84" s="16" t="n"/>
      <c r="Q84" s="16" t="n">
        <v>46170</v>
      </c>
      <c r="R84" s="14" t="inlineStr">
        <is>
          <t>—</t>
        </is>
      </c>
      <c r="S84" s="13" t="inlineStr"/>
    </row>
    <row r="85">
      <c r="A85" s="17" t="inlineStr">
        <is>
          <t>FTR-098</t>
        </is>
      </c>
      <c r="B85" s="17" t="inlineStr">
        <is>
          <t>Backend</t>
        </is>
      </c>
      <c r="C85" s="18" t="inlineStr">
        <is>
          <t>Server-side exports</t>
        </is>
      </c>
      <c r="D85" s="19" t="inlineStr">
        <is>
          <t>PDF / CSV report generation</t>
        </is>
      </c>
      <c r="E85" s="20" t="inlineStr">
        <is>
          <t>P3 — Medium</t>
        </is>
      </c>
      <c r="F85" s="20" t="inlineStr">
        <is>
          <t>Phase 2</t>
        </is>
      </c>
      <c r="G85" s="20" t="inlineStr">
        <is>
          <t>Not Started</t>
        </is>
      </c>
      <c r="H85" s="20" t="inlineStr">
        <is>
          <t>N/A</t>
        </is>
      </c>
      <c r="I85" s="20" t="inlineStr">
        <is>
          <t>Not Started</t>
        </is>
      </c>
      <c r="J85" s="21">
        <f>IF(G85="Completed",100,IF(G85="Deferred",0,IF(G85="Cancelled",0,IF(G85="Not Started",0,IF(G85="On Hold",IF(OR(H85="Complete",H85="N/A"),50,25),ROUND((IF(H85="Complete",100,IF(H85="In Progress",50,IF(H85="Blocked",25,0)))+IF(I85="Complete",100,IF(I85="In Progress",50,IF(I85="Blocked",25,IF(I85="N/A",100,0)))))/2,0))))))</f>
        <v/>
      </c>
      <c r="K85" s="21">
        <f>IF(G85="Completed","Green",IF(G85="Deferred","Grey",IF(G85="Cancelled","Grey",IF(G85="On Hold","Red",IF(J85&gt;=80,"Green",IF(J85&gt;=40,"Amber","Red"))))))</f>
        <v/>
      </c>
      <c r="L85" s="20" t="inlineStr">
        <is>
          <t>Backend Lead</t>
        </is>
      </c>
      <c r="M85" s="20" t="inlineStr">
        <is>
          <t>Engineering Manager</t>
        </is>
      </c>
      <c r="N85" s="22" t="n">
        <v>46204</v>
      </c>
      <c r="O85" s="22" t="n">
        <v>46235</v>
      </c>
      <c r="P85" s="22" t="n"/>
      <c r="Q85" s="22" t="n">
        <v>46170</v>
      </c>
      <c r="R85" s="20" t="inlineStr">
        <is>
          <t>—</t>
        </is>
      </c>
      <c r="S85" s="19" t="inlineStr"/>
    </row>
    <row r="86">
      <c r="A86" s="4" t="inlineStr">
        <is>
          <t>FTR-099</t>
        </is>
      </c>
      <c r="B86" s="4" t="inlineStr">
        <is>
          <t>Backend</t>
        </is>
      </c>
      <c r="C86" s="12" t="inlineStr">
        <is>
          <t>Real-time updates (SSE / WS)</t>
        </is>
      </c>
      <c r="D86" s="13" t="inlineStr">
        <is>
          <t>Live activity without refresh</t>
        </is>
      </c>
      <c r="E86" s="14" t="inlineStr">
        <is>
          <t>P3 — Medium</t>
        </is>
      </c>
      <c r="F86" s="14" t="inlineStr">
        <is>
          <t>Phase 2</t>
        </is>
      </c>
      <c r="G86" s="14" t="inlineStr">
        <is>
          <t>Not Started</t>
        </is>
      </c>
      <c r="H86" s="14" t="inlineStr">
        <is>
          <t>N/A</t>
        </is>
      </c>
      <c r="I86" s="14" t="inlineStr">
        <is>
          <t>Not Started</t>
        </is>
      </c>
      <c r="J86" s="15">
        <f>IF(G86="Completed",100,IF(G86="Deferred",0,IF(G86="Cancelled",0,IF(G86="Not Started",0,IF(G86="On Hold",IF(OR(H86="Complete",H86="N/A"),50,25),ROUND((IF(H86="Complete",100,IF(H86="In Progress",50,IF(H86="Blocked",25,0)))+IF(I86="Complete",100,IF(I86="In Progress",50,IF(I86="Blocked",25,IF(I86="N/A",100,0)))))/2,0))))))</f>
        <v/>
      </c>
      <c r="K86" s="15">
        <f>IF(G86="Completed","Green",IF(G86="Deferred","Grey",IF(G86="Cancelled","Grey",IF(G86="On Hold","Red",IF(J86&gt;=80,"Green",IF(J86&gt;=40,"Amber","Red"))))))</f>
        <v/>
      </c>
      <c r="L86" s="14" t="inlineStr">
        <is>
          <t>DevOps / SRE</t>
        </is>
      </c>
      <c r="M86" s="14" t="inlineStr">
        <is>
          <t>Engineering Manager</t>
        </is>
      </c>
      <c r="N86" s="16" t="n">
        <v>46235</v>
      </c>
      <c r="O86" s="16" t="n">
        <v>46266</v>
      </c>
      <c r="P86" s="16" t="n"/>
      <c r="Q86" s="16" t="n">
        <v>46170</v>
      </c>
      <c r="R86" s="14" t="inlineStr">
        <is>
          <t>—</t>
        </is>
      </c>
      <c r="S86" s="13" t="inlineStr"/>
    </row>
    <row r="87">
      <c r="A87" s="17" t="inlineStr">
        <is>
          <t>FTR-100</t>
        </is>
      </c>
      <c r="B87" s="17" t="inlineStr">
        <is>
          <t>Backend</t>
        </is>
      </c>
      <c r="C87" s="18" t="inlineStr">
        <is>
          <t>WCAG 2.1 AA audit</t>
        </is>
      </c>
      <c r="D87" s="19" t="inlineStr">
        <is>
          <t>Accessibility compliance gate</t>
        </is>
      </c>
      <c r="E87" s="20" t="inlineStr">
        <is>
          <t>P2 — High</t>
        </is>
      </c>
      <c r="F87" s="20" t="inlineStr">
        <is>
          <t>Phase 1 — Hardening</t>
        </is>
      </c>
      <c r="G87" s="20" t="inlineStr">
        <is>
          <t>Not Started</t>
        </is>
      </c>
      <c r="H87" s="20" t="inlineStr">
        <is>
          <t>In Progress</t>
        </is>
      </c>
      <c r="I87" s="20" t="inlineStr">
        <is>
          <t>Not Started</t>
        </is>
      </c>
      <c r="J87" s="21">
        <f>IF(G87="Completed",100,IF(G87="Deferred",0,IF(G87="Cancelled",0,IF(G87="Not Started",0,IF(G87="On Hold",IF(OR(H87="Complete",H87="N/A"),50,25),ROUND((IF(H87="Complete",100,IF(H87="In Progress",50,IF(H87="Blocked",25,0)))+IF(I87="Complete",100,IF(I87="In Progress",50,IF(I87="Blocked",25,IF(I87="N/A",100,0)))))/2,0))))))</f>
        <v/>
      </c>
      <c r="K87" s="21">
        <f>IF(G87="Completed","Green",IF(G87="Deferred","Grey",IF(G87="Cancelled","Grey",IF(G87="On Hold","Red",IF(J87&gt;=80,"Green",IF(J87&gt;=40,"Amber","Red"))))))</f>
        <v/>
      </c>
      <c r="L87" s="20" t="inlineStr">
        <is>
          <t>QA Lead</t>
        </is>
      </c>
      <c r="M87" s="20" t="inlineStr">
        <is>
          <t>Engineering Manager</t>
        </is>
      </c>
      <c r="N87" s="22" t="n">
        <v>46204</v>
      </c>
      <c r="O87" s="22" t="n">
        <v>46264</v>
      </c>
      <c r="P87" s="22" t="n"/>
      <c r="Q87" s="22" t="n">
        <v>46170</v>
      </c>
      <c r="R87" s="20" t="inlineStr">
        <is>
          <t>—</t>
        </is>
      </c>
      <c r="S87" s="19" t="inlineStr">
        <is>
          <t>Phase 1D gate</t>
        </is>
      </c>
    </row>
  </sheetData>
  <autoFilter ref="A11:S87"/>
  <mergeCells count="2">
    <mergeCell ref="A2:S2"/>
    <mergeCell ref="A1:S1"/>
  </mergeCells>
  <conditionalFormatting sqref="J12:J8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12:K87">
    <cfRule type="expression" priority="2" dxfId="0">
      <formula>$K12="Green"</formula>
    </cfRule>
    <cfRule type="expression" priority="3" dxfId="1">
      <formula>$K12="Amber"</formula>
    </cfRule>
    <cfRule type="expression" priority="4" dxfId="2">
      <formula>$K12="Red"</formula>
    </cfRule>
    <cfRule type="expression" priority="5" dxfId="3">
      <formula>$K12="Grey"</formula>
    </cfRule>
  </conditionalFormatting>
  <dataValidations count="6">
    <dataValidation sqref="G12:G87" showDropDown="0" showInputMessage="0" showErrorMessage="0" allowBlank="1" type="list">
      <formula1>"Not Started,In Progress,On Hold,Completed,Cancelled,Deferred"</formula1>
    </dataValidation>
    <dataValidation sqref="H12:H87 I12:I87" showDropDown="0" showInputMessage="0" showErrorMessage="0" allowBlank="1" type="list">
      <formula1>"Not Started,In Progress,Complete,Blocked,N/A"</formula1>
    </dataValidation>
    <dataValidation sqref="E12:E87" showDropDown="0" showInputMessage="0" showErrorMessage="0" allowBlank="1" type="list">
      <formula1>"P1 — Critical,P2 — High,P3 — Medium,P4 — Low"</formula1>
    </dataValidation>
    <dataValidation sqref="F12:F87" showDropDown="0" showInputMessage="0" showErrorMessage="0" allowBlank="1" type="list">
      <formula1>"Phase 1 — MVP,Phase 1 — Hardening,Phase 2,Backlog"</formula1>
    </dataValidation>
    <dataValidation sqref="K12:K87" showDropDown="0" showInputMessage="0" showErrorMessage="0" allowBlank="1" type="list">
      <formula1>"Green,Amber,Red,Grey"</formula1>
    </dataValidation>
    <dataValidation sqref="L12:L87 M12:M87" showDropDown="0" showInputMessage="0" showErrorMessage="0" allowBlank="1" type="list">
      <formula1>"Unassigned,Product Manager,Engineering Manager,Frontend Lead,Backend Lead,Full Stack Developer,QA Lead,DevOps / SRE,Security Lead,UI/UX Designer,Integrations Lead,AI / ML Engineer"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9" t="inlineStr">
        <is>
          <t>Program Dashboard</t>
        </is>
      </c>
    </row>
    <row r="2">
      <c r="A2" s="10" t="inlineStr">
        <is>
          <t>As of 28 May 2026 · sourced from Feature Register</t>
        </is>
      </c>
    </row>
    <row r="4">
      <c r="A4" s="23" t="inlineStr">
        <is>
          <t>Total features</t>
        </is>
      </c>
      <c r="C4" s="23" t="inlineStr">
        <is>
          <t>Completed</t>
        </is>
      </c>
      <c r="E4" s="23" t="inlineStr">
        <is>
          <t>In progress</t>
        </is>
      </c>
      <c r="G4" s="23" t="inlineStr">
        <is>
          <t>Not started</t>
        </is>
      </c>
    </row>
    <row r="5">
      <c r="A5" s="24">
        <f>COUNTA('Feature Register'!A12:A87)</f>
        <v/>
      </c>
      <c r="C5" s="24">
        <f>COUNTIF('Feature Register'!G12:G87,"Completed")</f>
        <v/>
      </c>
      <c r="E5" s="24">
        <f>COUNTIF('Feature Register'!G12:G87,"In Progress")</f>
        <v/>
      </c>
      <c r="G5" s="24">
        <f>COUNTIF('Feature Register'!G12:G87,"Not Started")</f>
        <v/>
      </c>
    </row>
    <row r="7">
      <c r="A7" s="23" t="inlineStr">
        <is>
          <t>P1 critical (open)</t>
        </is>
      </c>
      <c r="C7" s="23" t="inlineStr">
        <is>
          <t>Avg % complete</t>
        </is>
      </c>
      <c r="E7" s="23" t="inlineStr">
        <is>
          <t>Red / Amber (RAG)</t>
        </is>
      </c>
      <c r="G7" s="23" t="inlineStr">
        <is>
          <t>Deferred (Phase 2)</t>
        </is>
      </c>
    </row>
    <row r="8">
      <c r="A8" s="24">
        <f>COUNTIFS('Feature Register'!E12:E87,"P1*",'Feature Register'!G12:G87,"&lt;&gt;Completed",'Feature Register'!G12:G87,"&lt;&gt;Deferred",'Feature Register'!G12:G87,"&lt;&gt;Cancelled")</f>
        <v/>
      </c>
      <c r="C8" s="25">
        <f>IFERROR(AVERAGE('Feature Register'!J12:J87),0)</f>
        <v/>
      </c>
      <c r="E8" s="24">
        <f>COUNTIF('Feature Register'!K12:K87,"Red")&amp;" / "&amp;COUNTIF('Feature Register'!K12:K87,"Amber")</f>
        <v/>
      </c>
      <c r="G8" s="24">
        <f>COUNTIF('Feature Register'!G12:G87,"Deferred")</f>
        <v/>
      </c>
    </row>
    <row r="12">
      <c r="A12" s="6" t="inlineStr">
        <is>
          <t>By module</t>
        </is>
      </c>
    </row>
    <row r="13">
      <c r="A13" s="7" t="inlineStr">
        <is>
          <t>Module</t>
        </is>
      </c>
      <c r="B13" s="7" t="inlineStr">
        <is>
          <t>Total</t>
        </is>
      </c>
      <c r="C13" s="7" t="inlineStr">
        <is>
          <t>Completed</t>
        </is>
      </c>
      <c r="D13" s="7" t="inlineStr">
        <is>
          <t>In Progress</t>
        </is>
      </c>
      <c r="E13" s="7" t="inlineStr">
        <is>
          <t>Not Started</t>
        </is>
      </c>
      <c r="F13" s="7" t="inlineStr">
        <is>
          <t>Avg %</t>
        </is>
      </c>
    </row>
    <row r="14">
      <c r="A14" s="26" t="inlineStr">
        <is>
          <t>Platform</t>
        </is>
      </c>
      <c r="B14" s="14">
        <f>COUNTIF('Feature Register'!B12:B87,"Platform")</f>
        <v/>
      </c>
      <c r="C14" s="14">
        <f>COUNTIFS('Feature Register'!B12:B87,"Platform",'Feature Register'!G12:G87,"Completed")</f>
        <v/>
      </c>
      <c r="D14" s="14">
        <f>COUNTIFS('Feature Register'!B12:B87,"Platform",'Feature Register'!G12:G87,"In Progress")</f>
        <v/>
      </c>
      <c r="E14" s="14">
        <f>COUNTIFS('Feature Register'!B12:B87,"Platform",'Feature Register'!G12:G87,"Not Started")</f>
        <v/>
      </c>
      <c r="F14" s="27">
        <f>IFERROR(AVERAGEIF('Feature Register'!B12:B87,"Platform",'Feature Register'!J12:J87),0)</f>
        <v/>
      </c>
    </row>
    <row r="15">
      <c r="A15" s="26" t="inlineStr">
        <is>
          <t>Contributor</t>
        </is>
      </c>
      <c r="B15" s="14">
        <f>COUNTIF('Feature Register'!B12:B87,"Contributor")</f>
        <v/>
      </c>
      <c r="C15" s="14">
        <f>COUNTIFS('Feature Register'!B12:B87,"Contributor",'Feature Register'!G12:G87,"Completed")</f>
        <v/>
      </c>
      <c r="D15" s="14">
        <f>COUNTIFS('Feature Register'!B12:B87,"Contributor",'Feature Register'!G12:G87,"In Progress")</f>
        <v/>
      </c>
      <c r="E15" s="14">
        <f>COUNTIFS('Feature Register'!B12:B87,"Contributor",'Feature Register'!G12:G87,"Not Started")</f>
        <v/>
      </c>
      <c r="F15" s="27">
        <f>IFERROR(AVERAGEIF('Feature Register'!B12:B87,"Contributor",'Feature Register'!J12:J87),0)</f>
        <v/>
      </c>
    </row>
    <row r="16">
      <c r="A16" s="26" t="inlineStr">
        <is>
          <t>Enterprise</t>
        </is>
      </c>
      <c r="B16" s="14">
        <f>COUNTIF('Feature Register'!B12:B87,"Enterprise")</f>
        <v/>
      </c>
      <c r="C16" s="14">
        <f>COUNTIFS('Feature Register'!B12:B87,"Enterprise",'Feature Register'!G12:G87,"Completed")</f>
        <v/>
      </c>
      <c r="D16" s="14">
        <f>COUNTIFS('Feature Register'!B12:B87,"Enterprise",'Feature Register'!G12:G87,"In Progress")</f>
        <v/>
      </c>
      <c r="E16" s="14">
        <f>COUNTIFS('Feature Register'!B12:B87,"Enterprise",'Feature Register'!G12:G87,"Not Started")</f>
        <v/>
      </c>
      <c r="F16" s="27">
        <f>IFERROR(AVERAGEIF('Feature Register'!B12:B87,"Enterprise",'Feature Register'!J12:J87),0)</f>
        <v/>
      </c>
    </row>
    <row r="17">
      <c r="A17" s="26" t="inlineStr">
        <is>
          <t>Mentor</t>
        </is>
      </c>
      <c r="B17" s="14">
        <f>COUNTIF('Feature Register'!B12:B87,"Mentor")</f>
        <v/>
      </c>
      <c r="C17" s="14">
        <f>COUNTIFS('Feature Register'!B12:B87,"Mentor",'Feature Register'!G12:G87,"Completed")</f>
        <v/>
      </c>
      <c r="D17" s="14">
        <f>COUNTIFS('Feature Register'!B12:B87,"Mentor",'Feature Register'!G12:G87,"In Progress")</f>
        <v/>
      </c>
      <c r="E17" s="14">
        <f>COUNTIFS('Feature Register'!B12:B87,"Mentor",'Feature Register'!G12:G87,"Not Started")</f>
        <v/>
      </c>
      <c r="F17" s="27">
        <f>IFERROR(AVERAGEIF('Feature Register'!B12:B87,"Mentor",'Feature Register'!J12:J87),0)</f>
        <v/>
      </c>
    </row>
    <row r="18">
      <c r="A18" s="26" t="inlineStr">
        <is>
          <t>Admin</t>
        </is>
      </c>
      <c r="B18" s="14">
        <f>COUNTIF('Feature Register'!B12:B87,"Admin")</f>
        <v/>
      </c>
      <c r="C18" s="14">
        <f>COUNTIFS('Feature Register'!B12:B87,"Admin",'Feature Register'!G12:G87,"Completed")</f>
        <v/>
      </c>
      <c r="D18" s="14">
        <f>COUNTIFS('Feature Register'!B12:B87,"Admin",'Feature Register'!G12:G87,"In Progress")</f>
        <v/>
      </c>
      <c r="E18" s="14">
        <f>COUNTIFS('Feature Register'!B12:B87,"Admin",'Feature Register'!G12:G87,"Not Started")</f>
        <v/>
      </c>
      <c r="F18" s="27">
        <f>IFERROR(AVERAGEIF('Feature Register'!B12:B87,"Admin",'Feature Register'!J12:J87),0)</f>
        <v/>
      </c>
    </row>
    <row r="19">
      <c r="A19" s="26" t="inlineStr">
        <is>
          <t>Backend</t>
        </is>
      </c>
      <c r="B19" s="14">
        <f>COUNTIF('Feature Register'!B12:B87,"Backend")</f>
        <v/>
      </c>
      <c r="C19" s="14">
        <f>COUNTIFS('Feature Register'!B12:B87,"Backend",'Feature Register'!G12:G87,"Completed")</f>
        <v/>
      </c>
      <c r="D19" s="14">
        <f>COUNTIFS('Feature Register'!B12:B87,"Backend",'Feature Register'!G12:G87,"In Progress")</f>
        <v/>
      </c>
      <c r="E19" s="14">
        <f>COUNTIFS('Feature Register'!B12:B87,"Backend",'Feature Register'!G12:G87,"Not Started")</f>
        <v/>
      </c>
      <c r="F19" s="27">
        <f>IFERROR(AVERAGEIF('Feature Register'!B12:B87,"Backend",'Feature Register'!J12:J87),0)</f>
        <v/>
      </c>
    </row>
  </sheetData>
  <mergeCells count="18">
    <mergeCell ref="A4:B4"/>
    <mergeCell ref="A2:F2"/>
    <mergeCell ref="E4:F4"/>
    <mergeCell ref="G4:H4"/>
    <mergeCell ref="C7:D7"/>
    <mergeCell ref="A7:B7"/>
    <mergeCell ref="G7:H7"/>
    <mergeCell ref="E7:F7"/>
    <mergeCell ref="A1:F1"/>
    <mergeCell ref="C5:D5"/>
    <mergeCell ref="A5:B5"/>
    <mergeCell ref="G5:H5"/>
    <mergeCell ref="E5:F5"/>
    <mergeCell ref="G8:H8"/>
    <mergeCell ref="A8:B8"/>
    <mergeCell ref="E8:F8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Resource Plan — by assignee</t>
        </is>
      </c>
    </row>
    <row r="2">
      <c r="A2" s="10" t="inlineStr">
        <is>
          <t>Standard workload view · who owns how many open items</t>
        </is>
      </c>
    </row>
    <row r="4">
      <c r="A4" s="7" t="inlineStr">
        <is>
          <t>Assigned To</t>
        </is>
      </c>
      <c r="B4" s="7" t="inlineStr">
        <is>
          <t>Total assigned</t>
        </is>
      </c>
      <c r="C4" s="7" t="inlineStr">
        <is>
          <t>Completed</t>
        </is>
      </c>
      <c r="D4" s="7" t="inlineStr">
        <is>
          <t>In progress</t>
        </is>
      </c>
      <c r="E4" s="7" t="inlineStr">
        <is>
          <t>Not started</t>
        </is>
      </c>
      <c r="F4" s="7" t="inlineStr">
        <is>
          <t>Open P1 items</t>
        </is>
      </c>
    </row>
    <row r="5">
      <c r="A5" s="26" t="inlineStr">
        <is>
          <t>Product Manager</t>
        </is>
      </c>
      <c r="B5" s="14">
        <f>COUNTIF('Feature Register'!L12:L87,A5)</f>
        <v/>
      </c>
      <c r="C5" s="14">
        <f>COUNTIFS('Feature Register'!L12:L87,A5,'Feature Register'!G12:G87,"Completed")</f>
        <v/>
      </c>
      <c r="D5" s="14">
        <f>COUNTIFS('Feature Register'!L12:L87,A5,'Feature Register'!G12:G87,"In Progress")</f>
        <v/>
      </c>
      <c r="E5" s="14">
        <f>COUNTIFS('Feature Register'!L12:L87,A5,'Feature Register'!G12:G87,"Not Started")</f>
        <v/>
      </c>
      <c r="F5" s="14">
        <f>COUNTIFS('Feature Register'!L12:L87,A5,'Feature Register'!E12:E87,"P1*",'Feature Register'!G12:G87,"&lt;&gt;Completed")</f>
        <v/>
      </c>
    </row>
    <row r="6">
      <c r="A6" s="26" t="inlineStr">
        <is>
          <t>Engineering Manager</t>
        </is>
      </c>
      <c r="B6" s="14">
        <f>COUNTIF('Feature Register'!L12:L87,A6)</f>
        <v/>
      </c>
      <c r="C6" s="14">
        <f>COUNTIFS('Feature Register'!L12:L87,A6,'Feature Register'!G12:G87,"Completed")</f>
        <v/>
      </c>
      <c r="D6" s="14">
        <f>COUNTIFS('Feature Register'!L12:L87,A6,'Feature Register'!G12:G87,"In Progress")</f>
        <v/>
      </c>
      <c r="E6" s="14">
        <f>COUNTIFS('Feature Register'!L12:L87,A6,'Feature Register'!G12:G87,"Not Started")</f>
        <v/>
      </c>
      <c r="F6" s="14">
        <f>COUNTIFS('Feature Register'!L12:L87,A6,'Feature Register'!E12:E87,"P1*",'Feature Register'!G12:G87,"&lt;&gt;Completed")</f>
        <v/>
      </c>
    </row>
    <row r="7">
      <c r="A7" s="26" t="inlineStr">
        <is>
          <t>Frontend Lead</t>
        </is>
      </c>
      <c r="B7" s="14">
        <f>COUNTIF('Feature Register'!L12:L87,A7)</f>
        <v/>
      </c>
      <c r="C7" s="14">
        <f>COUNTIFS('Feature Register'!L12:L87,A7,'Feature Register'!G12:G87,"Completed")</f>
        <v/>
      </c>
      <c r="D7" s="14">
        <f>COUNTIFS('Feature Register'!L12:L87,A7,'Feature Register'!G12:G87,"In Progress")</f>
        <v/>
      </c>
      <c r="E7" s="14">
        <f>COUNTIFS('Feature Register'!L12:L87,A7,'Feature Register'!G12:G87,"Not Started")</f>
        <v/>
      </c>
      <c r="F7" s="14">
        <f>COUNTIFS('Feature Register'!L12:L87,A7,'Feature Register'!E12:E87,"P1*",'Feature Register'!G12:G87,"&lt;&gt;Completed")</f>
        <v/>
      </c>
    </row>
    <row r="8">
      <c r="A8" s="26" t="inlineStr">
        <is>
          <t>Backend Lead</t>
        </is>
      </c>
      <c r="B8" s="14">
        <f>COUNTIF('Feature Register'!L12:L87,A8)</f>
        <v/>
      </c>
      <c r="C8" s="14">
        <f>COUNTIFS('Feature Register'!L12:L87,A8,'Feature Register'!G12:G87,"Completed")</f>
        <v/>
      </c>
      <c r="D8" s="14">
        <f>COUNTIFS('Feature Register'!L12:L87,A8,'Feature Register'!G12:G87,"In Progress")</f>
        <v/>
      </c>
      <c r="E8" s="14">
        <f>COUNTIFS('Feature Register'!L12:L87,A8,'Feature Register'!G12:G87,"Not Started")</f>
        <v/>
      </c>
      <c r="F8" s="14">
        <f>COUNTIFS('Feature Register'!L12:L87,A8,'Feature Register'!E12:E87,"P1*",'Feature Register'!G12:G87,"&lt;&gt;Completed")</f>
        <v/>
      </c>
    </row>
    <row r="9">
      <c r="A9" s="26" t="inlineStr">
        <is>
          <t>Full Stack Developer</t>
        </is>
      </c>
      <c r="B9" s="14">
        <f>COUNTIF('Feature Register'!L12:L87,A9)</f>
        <v/>
      </c>
      <c r="C9" s="14">
        <f>COUNTIFS('Feature Register'!L12:L87,A9,'Feature Register'!G12:G87,"Completed")</f>
        <v/>
      </c>
      <c r="D9" s="14">
        <f>COUNTIFS('Feature Register'!L12:L87,A9,'Feature Register'!G12:G87,"In Progress")</f>
        <v/>
      </c>
      <c r="E9" s="14">
        <f>COUNTIFS('Feature Register'!L12:L87,A9,'Feature Register'!G12:G87,"Not Started")</f>
        <v/>
      </c>
      <c r="F9" s="14">
        <f>COUNTIFS('Feature Register'!L12:L87,A9,'Feature Register'!E12:E87,"P1*",'Feature Register'!G12:G87,"&lt;&gt;Completed")</f>
        <v/>
      </c>
    </row>
    <row r="10">
      <c r="A10" s="26" t="inlineStr">
        <is>
          <t>QA Lead</t>
        </is>
      </c>
      <c r="B10" s="14">
        <f>COUNTIF('Feature Register'!L12:L87,A10)</f>
        <v/>
      </c>
      <c r="C10" s="14">
        <f>COUNTIFS('Feature Register'!L12:L87,A10,'Feature Register'!G12:G87,"Completed")</f>
        <v/>
      </c>
      <c r="D10" s="14">
        <f>COUNTIFS('Feature Register'!L12:L87,A10,'Feature Register'!G12:G87,"In Progress")</f>
        <v/>
      </c>
      <c r="E10" s="14">
        <f>COUNTIFS('Feature Register'!L12:L87,A10,'Feature Register'!G12:G87,"Not Started")</f>
        <v/>
      </c>
      <c r="F10" s="14">
        <f>COUNTIFS('Feature Register'!L12:L87,A10,'Feature Register'!E12:E87,"P1*",'Feature Register'!G12:G87,"&lt;&gt;Completed")</f>
        <v/>
      </c>
    </row>
    <row r="11">
      <c r="A11" s="26" t="inlineStr">
        <is>
          <t>DevOps / SRE</t>
        </is>
      </c>
      <c r="B11" s="14">
        <f>COUNTIF('Feature Register'!L12:L87,A11)</f>
        <v/>
      </c>
      <c r="C11" s="14">
        <f>COUNTIFS('Feature Register'!L12:L87,A11,'Feature Register'!G12:G87,"Completed")</f>
        <v/>
      </c>
      <c r="D11" s="14">
        <f>COUNTIFS('Feature Register'!L12:L87,A11,'Feature Register'!G12:G87,"In Progress")</f>
        <v/>
      </c>
      <c r="E11" s="14">
        <f>COUNTIFS('Feature Register'!L12:L87,A11,'Feature Register'!G12:G87,"Not Started")</f>
        <v/>
      </c>
      <c r="F11" s="14">
        <f>COUNTIFS('Feature Register'!L12:L87,A11,'Feature Register'!E12:E87,"P1*",'Feature Register'!G12:G87,"&lt;&gt;Completed")</f>
        <v/>
      </c>
    </row>
    <row r="12">
      <c r="A12" s="26" t="inlineStr">
        <is>
          <t>Security Lead</t>
        </is>
      </c>
      <c r="B12" s="14">
        <f>COUNTIF('Feature Register'!L12:L87,A12)</f>
        <v/>
      </c>
      <c r="C12" s="14">
        <f>COUNTIFS('Feature Register'!L12:L87,A12,'Feature Register'!G12:G87,"Completed")</f>
        <v/>
      </c>
      <c r="D12" s="14">
        <f>COUNTIFS('Feature Register'!L12:L87,A12,'Feature Register'!G12:G87,"In Progress")</f>
        <v/>
      </c>
      <c r="E12" s="14">
        <f>COUNTIFS('Feature Register'!L12:L87,A12,'Feature Register'!G12:G87,"Not Started")</f>
        <v/>
      </c>
      <c r="F12" s="14">
        <f>COUNTIFS('Feature Register'!L12:L87,A12,'Feature Register'!E12:E87,"P1*",'Feature Register'!G12:G87,"&lt;&gt;Completed")</f>
        <v/>
      </c>
    </row>
    <row r="13">
      <c r="A13" s="26" t="inlineStr">
        <is>
          <t>UI/UX Designer</t>
        </is>
      </c>
      <c r="B13" s="14">
        <f>COUNTIF('Feature Register'!L12:L87,A13)</f>
        <v/>
      </c>
      <c r="C13" s="14">
        <f>COUNTIFS('Feature Register'!L12:L87,A13,'Feature Register'!G12:G87,"Completed")</f>
        <v/>
      </c>
      <c r="D13" s="14">
        <f>COUNTIFS('Feature Register'!L12:L87,A13,'Feature Register'!G12:G87,"In Progress")</f>
        <v/>
      </c>
      <c r="E13" s="14">
        <f>COUNTIFS('Feature Register'!L12:L87,A13,'Feature Register'!G12:G87,"Not Started")</f>
        <v/>
      </c>
      <c r="F13" s="14">
        <f>COUNTIFS('Feature Register'!L12:L87,A13,'Feature Register'!E12:E87,"P1*",'Feature Register'!G12:G87,"&lt;&gt;Completed")</f>
        <v/>
      </c>
    </row>
    <row r="14">
      <c r="A14" s="26" t="inlineStr">
        <is>
          <t>Integrations Lead</t>
        </is>
      </c>
      <c r="B14" s="14">
        <f>COUNTIF('Feature Register'!L12:L87,A14)</f>
        <v/>
      </c>
      <c r="C14" s="14">
        <f>COUNTIFS('Feature Register'!L12:L87,A14,'Feature Register'!G12:G87,"Completed")</f>
        <v/>
      </c>
      <c r="D14" s="14">
        <f>COUNTIFS('Feature Register'!L12:L87,A14,'Feature Register'!G12:G87,"In Progress")</f>
        <v/>
      </c>
      <c r="E14" s="14">
        <f>COUNTIFS('Feature Register'!L12:L87,A14,'Feature Register'!G12:G87,"Not Started")</f>
        <v/>
      </c>
      <c r="F14" s="14">
        <f>COUNTIFS('Feature Register'!L12:L87,A14,'Feature Register'!E12:E87,"P1*",'Feature Register'!G12:G87,"&lt;&gt;Completed")</f>
        <v/>
      </c>
    </row>
    <row r="15">
      <c r="A15" s="26" t="inlineStr">
        <is>
          <t>AI / ML Engineer</t>
        </is>
      </c>
      <c r="B15" s="14">
        <f>COUNTIF('Feature Register'!L12:L87,A15)</f>
        <v/>
      </c>
      <c r="C15" s="14">
        <f>COUNTIFS('Feature Register'!L12:L87,A15,'Feature Register'!G12:G87,"Completed")</f>
        <v/>
      </c>
      <c r="D15" s="14">
        <f>COUNTIFS('Feature Register'!L12:L87,A15,'Feature Register'!G12:G87,"In Progress")</f>
        <v/>
      </c>
      <c r="E15" s="14">
        <f>COUNTIFS('Feature Register'!L12:L87,A15,'Feature Register'!G12:G87,"Not Started")</f>
        <v/>
      </c>
      <c r="F15" s="14">
        <f>COUNTIFS('Feature Register'!L12:L87,A15,'Feature Register'!E12:E87,"P1*",'Feature Register'!G12:G87,"&lt;&gt;Completed")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28" t="inlineStr">
        <is>
          <t>Column &amp; status definitions</t>
        </is>
      </c>
    </row>
    <row r="3">
      <c r="A3" s="29" t="inlineStr">
        <is>
          <t>Field</t>
        </is>
      </c>
      <c r="B3" s="29" t="inlineStr">
        <is>
          <t>Definition</t>
        </is>
      </c>
    </row>
    <row r="4">
      <c r="A4" s="26" t="inlineStr">
        <is>
          <t>Feature ID</t>
        </is>
      </c>
      <c r="B4" s="13" t="inlineStr">
        <is>
          <t>Unique reference (FTR-xxx). Used in dependencies.</t>
        </is>
      </c>
    </row>
    <row r="5">
      <c r="A5" s="26" t="inlineStr">
        <is>
          <t>Module</t>
        </is>
      </c>
      <c r="B5" s="13" t="inlineStr">
        <is>
          <t>Product area: Platform, Contributor, Enterprise, Mentor, Admin, Backend.</t>
        </is>
      </c>
    </row>
    <row r="6">
      <c r="A6" s="26" t="inlineStr">
        <is>
          <t>Overall Status</t>
        </is>
      </c>
      <c r="B6" s="13" t="inlineStr">
        <is>
          <t>Not Started → In Progress → Completed. Also: On Hold, Cancelled, Deferred.</t>
        </is>
      </c>
    </row>
    <row r="7">
      <c r="A7" s="26" t="inlineStr">
        <is>
          <t>Frontend / Backend Status</t>
        </is>
      </c>
      <c r="B7" s="13" t="inlineStr">
        <is>
          <t>Delivery layer status. Use N/A when not applicable (e.g. backend-only).</t>
        </is>
      </c>
    </row>
    <row r="8">
      <c r="A8" s="26" t="inlineStr">
        <is>
          <t>% Complete</t>
        </is>
      </c>
      <c r="B8" s="13" t="inlineStr">
        <is>
          <t>Auto-calculated from overall + FE/BE status.</t>
        </is>
      </c>
    </row>
    <row r="9">
      <c r="A9" s="26" t="inlineStr">
        <is>
          <t>RAG</t>
        </is>
      </c>
      <c r="B9" s="13" t="inlineStr">
        <is>
          <t>Auto: Green (on track), Amber (attention), Red (blocked/overdue risk), Grey (deferred).</t>
        </is>
      </c>
    </row>
    <row r="10">
      <c r="A10" s="26" t="inlineStr">
        <is>
          <t>Assigned To</t>
        </is>
      </c>
      <c r="B10" s="13" t="inlineStr">
        <is>
          <t>Person doing the work (developer / lead).</t>
        </is>
      </c>
    </row>
    <row r="11">
      <c r="A11" s="26" t="inlineStr">
        <is>
          <t>Accountable (EM)</t>
        </is>
      </c>
      <c r="B11" s="13" t="inlineStr">
        <is>
          <t>Manager accountable for delivery sign-off.</t>
        </is>
      </c>
    </row>
    <row r="12">
      <c r="A12" s="26" t="inlineStr">
        <is>
          <t>Planned Start / End</t>
        </is>
      </c>
      <c r="B12" s="13" t="inlineStr">
        <is>
          <t>Baseline schedule dates.</t>
        </is>
      </c>
    </row>
    <row r="13">
      <c r="A13" s="26" t="inlineStr">
        <is>
          <t>Actual End</t>
        </is>
      </c>
      <c r="B13" s="13" t="inlineStr">
        <is>
          <t>Fill when Overall Status = Completed.</t>
        </is>
      </c>
    </row>
    <row r="14">
      <c r="A14" s="26" t="inlineStr">
        <is>
          <t>Dependency ID</t>
        </is>
      </c>
      <c r="B14" s="13" t="inlineStr">
        <is>
          <t>Feature ID that must complete first.</t>
        </is>
      </c>
    </row>
    <row r="15">
      <c r="A15" s="26" t="inlineStr">
        <is>
          <t>Remarks</t>
        </is>
      </c>
      <c r="B15" s="13" t="inlineStr">
        <is>
          <t>Blockers, decisions, links to PRD / ticket.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2026-06-01T16:17:53Z</dcterms:created>
  <dcterms:modified xmlns:dcterms="http://purl.org/dc/terms/" xmlns:xsi="http://www.w3.org/2001/XMLSchema-instance" xsi:type="dcterms:W3CDTF">2026-06-01T16:17:54Z</dcterms:modified>
</cp:coreProperties>
</file>